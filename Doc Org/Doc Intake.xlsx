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ndrewswenson/Documents/Research/School Lunches/Doc Org/"/>
    </mc:Choice>
  </mc:AlternateContent>
  <xr:revisionPtr revIDLastSave="0" documentId="13_ncr:1_{3361A7BA-0A24-1C45-9453-616C692B6003}" xr6:coauthVersionLast="47" xr6:coauthVersionMax="47" xr10:uidLastSave="{00000000-0000-0000-0000-000000000000}"/>
  <bookViews>
    <workbookView xWindow="0" yWindow="660" windowWidth="29400" windowHeight="17220" tabRatio="500" xr2:uid="{00000000-000D-0000-FFFF-FFFF00000000}"/>
  </bookViews>
  <sheets>
    <sheet name="Files Index" sheetId="1" r:id="rId1"/>
    <sheet name="OPRA Tracker NJ" sheetId="2" r:id="rId2"/>
  </sheets>
  <definedNames>
    <definedName name="_xlnm._FilterDatabase" localSheetId="0" hidden="1">'Files Index'!$A$1:$K$22</definedName>
    <definedName name="_xlnm._FilterDatabase" localSheetId="1" hidden="1">'OPRA Tracker NJ'!$A$1:$L$1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15" i="1" l="1"/>
  <c r="B16" i="1"/>
  <c r="B17" i="1"/>
  <c r="B18" i="1"/>
  <c r="B20" i="1"/>
  <c r="B21" i="1"/>
  <c r="B22" i="1"/>
  <c r="B14" i="1"/>
  <c r="B13" i="1"/>
  <c r="B12" i="1"/>
  <c r="B11" i="1"/>
  <c r="B10" i="1"/>
  <c r="B9" i="1"/>
  <c r="B8" i="1"/>
  <c r="B7" i="1"/>
  <c r="B6" i="1"/>
  <c r="B5" i="1"/>
  <c r="B4" i="1"/>
  <c r="B3" i="1"/>
  <c r="B2" i="1"/>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F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F136" i="2"/>
  <c r="I135" i="2"/>
  <c r="I134" i="2"/>
  <c r="I133" i="2"/>
  <c r="I132" i="2"/>
  <c r="I131" i="2"/>
  <c r="I130" i="2"/>
  <c r="I129" i="2"/>
  <c r="I128" i="2"/>
  <c r="I127" i="2"/>
  <c r="I126" i="2"/>
  <c r="I125" i="2"/>
  <c r="I124" i="2"/>
  <c r="I123" i="2"/>
  <c r="I122" i="2"/>
  <c r="I121" i="2"/>
  <c r="I120" i="2"/>
  <c r="I119" i="2"/>
  <c r="I118" i="2"/>
  <c r="I117" i="2"/>
  <c r="I116" i="2"/>
  <c r="F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F3" i="2"/>
  <c r="I2" i="2"/>
</calcChain>
</file>

<file path=xl/sharedStrings.xml><?xml version="1.0" encoding="utf-8"?>
<sst xmlns="http://schemas.openxmlformats.org/spreadsheetml/2006/main" count="3357" uniqueCount="1097">
  <si>
    <t>Agreement #</t>
  </si>
  <si>
    <t>SFA / District Name</t>
  </si>
  <si>
    <t>County</t>
  </si>
  <si>
    <t>FSMC</t>
  </si>
  <si>
    <t>Contract
Type</t>
  </si>
  <si>
    <t>OPRAmachine Link</t>
  </si>
  <si>
    <t>OPRA Status</t>
  </si>
  <si>
    <t>Date Sent</t>
  </si>
  <si>
    <t>Response Due
(7 bus. days)</t>
  </si>
  <si>
    <t>Date Received</t>
  </si>
  <si>
    <t>Follow-Up Notes</t>
  </si>
  <si>
    <t>Total: 443 districts</t>
  </si>
  <si>
    <t>Total Contract Cost</t>
  </si>
  <si>
    <t>01705240</t>
  </si>
  <si>
    <t>Union City Bd Of Ed</t>
  </si>
  <si>
    <t>Hudson</t>
  </si>
  <si>
    <t>Chartwells</t>
  </si>
  <si>
    <t>CR</t>
  </si>
  <si>
    <t>Submit on OPRAmachine</t>
  </si>
  <si>
    <t>Not Started</t>
  </si>
  <si>
    <t>02105210</t>
  </si>
  <si>
    <t>Trenton Bd Of Ed</t>
  </si>
  <si>
    <t>Mercer</t>
  </si>
  <si>
    <t>Aramark</t>
  </si>
  <si>
    <t>Acknowledged – Pending</t>
  </si>
  <si>
    <t>Acknowledged by Jessica Penkola (Trenton BOE); response date given but pending delivery.</t>
  </si>
  <si>
    <t>03100900</t>
  </si>
  <si>
    <t>Clifton Bd Of Ed</t>
  </si>
  <si>
    <t>Passaic</t>
  </si>
  <si>
    <t>Pomptonian</t>
  </si>
  <si>
    <t>01301210</t>
  </si>
  <si>
    <t>East Orange Bd Of Ed</t>
  </si>
  <si>
    <t>Essex</t>
  </si>
  <si>
    <t>Sodexomagic</t>
  </si>
  <si>
    <t>03904160</t>
  </si>
  <si>
    <t>Plainfield Bd Of Ed</t>
  </si>
  <si>
    <t>Union</t>
  </si>
  <si>
    <t>Maschios</t>
  </si>
  <si>
    <t>02303530</t>
  </si>
  <si>
    <t>New Brunswick Bd Of Ed</t>
  </si>
  <si>
    <t>Middlesex</t>
  </si>
  <si>
    <t>02301290</t>
  </si>
  <si>
    <t>Edison Twp Bd Of Ed</t>
  </si>
  <si>
    <t>02305850</t>
  </si>
  <si>
    <t>Woodbridge Bd Of Ed</t>
  </si>
  <si>
    <t>08007325</t>
  </si>
  <si>
    <t>Team Academy Charter</t>
  </si>
  <si>
    <t>Not on OPRAmachine</t>
  </si>
  <si>
    <t>01105390</t>
  </si>
  <si>
    <t>Vineland Bd Of Ed</t>
  </si>
  <si>
    <t>Cumberland</t>
  </si>
  <si>
    <t>Sodexo</t>
  </si>
  <si>
    <t>00100110</t>
  </si>
  <si>
    <t>Atlantic City Public Schools</t>
  </si>
  <si>
    <t>Atlantic</t>
  </si>
  <si>
    <t>02101950</t>
  </si>
  <si>
    <t>Hamilton Twp Bd Of Ed</t>
  </si>
  <si>
    <t>02902520</t>
  </si>
  <si>
    <t>Lakewood Bd Of Ed</t>
  </si>
  <si>
    <t>Ocean</t>
  </si>
  <si>
    <t>00301860</t>
  </si>
  <si>
    <t>Hackensack Bd Of Ed</t>
  </si>
  <si>
    <t>Bergen</t>
  </si>
  <si>
    <t>01305680</t>
  </si>
  <si>
    <t>West Orange Bd Of Ed</t>
  </si>
  <si>
    <t>03905290</t>
  </si>
  <si>
    <t>Union Bd Of Ed</t>
  </si>
  <si>
    <t>03902660</t>
  </si>
  <si>
    <t>Linden Bd Of Ed</t>
  </si>
  <si>
    <t>00301700</t>
  </si>
  <si>
    <t>Garfield Bd Of Ed</t>
  </si>
  <si>
    <t>02303620</t>
  </si>
  <si>
    <t>North Brunswick Bd Ofed</t>
  </si>
  <si>
    <t>02502770</t>
  </si>
  <si>
    <t>Long Branch Bd Of Ed</t>
  </si>
  <si>
    <t>Monmouth</t>
  </si>
  <si>
    <t>02304130</t>
  </si>
  <si>
    <t>Piscataway Twp Bd Of Ed</t>
  </si>
  <si>
    <t>03500555</t>
  </si>
  <si>
    <t>Bridgewater- Rartn Reg Boe</t>
  </si>
  <si>
    <t>Somerset</t>
  </si>
  <si>
    <t>01703610</t>
  </si>
  <si>
    <t>North Bergen Bd Of Ed</t>
  </si>
  <si>
    <t>Nuway</t>
  </si>
  <si>
    <t>03105570</t>
  </si>
  <si>
    <t>Wayne Bd Of Ed</t>
  </si>
  <si>
    <t>02301170</t>
  </si>
  <si>
    <t>East Brunswick Bd Ofed</t>
  </si>
  <si>
    <t>01300250</t>
  </si>
  <si>
    <t>Belleville Bd Of Ed</t>
  </si>
  <si>
    <t>00700800</t>
  </si>
  <si>
    <t>Cherry Hill Twp Bd Of Ed</t>
  </si>
  <si>
    <t>Camden</t>
  </si>
  <si>
    <t>02304860</t>
  </si>
  <si>
    <t>South Brunswick Bd Ofed</t>
  </si>
  <si>
    <t>02303290</t>
  </si>
  <si>
    <t>Monroe Twp Bd Of Ed</t>
  </si>
  <si>
    <t>Metz</t>
  </si>
  <si>
    <t>01702410</t>
  </si>
  <si>
    <t>Kearny Boe</t>
  </si>
  <si>
    <t>02501650</t>
  </si>
  <si>
    <t>Freehold Reg Bd Of Ed</t>
  </si>
  <si>
    <t>02303845</t>
  </si>
  <si>
    <t>Old Bridge Bd Of Ed</t>
  </si>
  <si>
    <t>02703950</t>
  </si>
  <si>
    <t>Par Troy Hills Bd Of Ed</t>
  </si>
  <si>
    <t>Morris</t>
  </si>
  <si>
    <t>00705820</t>
  </si>
  <si>
    <t>Winslow Twp Bd Of Ed</t>
  </si>
  <si>
    <t>FP</t>
  </si>
  <si>
    <t>03502170</t>
  </si>
  <si>
    <t>Hillsborough Twp Bd Of Ed</t>
  </si>
  <si>
    <t>02503160</t>
  </si>
  <si>
    <t>Middletown Twp Bd Of Ed</t>
  </si>
  <si>
    <t>Whitsons</t>
  </si>
  <si>
    <t>01300410</t>
  </si>
  <si>
    <t>Bloomfield Bd Of Ed</t>
  </si>
  <si>
    <t>02701110</t>
  </si>
  <si>
    <t>Dover Town Bd Of Ed</t>
  </si>
  <si>
    <t>04104100</t>
  </si>
  <si>
    <t>Phillipsburg Bd Of Ed</t>
  </si>
  <si>
    <t>Warren</t>
  </si>
  <si>
    <t>02703385</t>
  </si>
  <si>
    <t>Morris Sch Dist Bd Of Ed</t>
  </si>
  <si>
    <t>00104180</t>
  </si>
  <si>
    <t>Pleasantville Public Sch</t>
  </si>
  <si>
    <t>Nutri-Serve</t>
  </si>
  <si>
    <t>03904290</t>
  </si>
  <si>
    <t>Rahway Bd Of Ed</t>
  </si>
  <si>
    <t>01503280</t>
  </si>
  <si>
    <t>Gloucester</t>
  </si>
  <si>
    <t>01304900</t>
  </si>
  <si>
    <t>South Orange- Maplewood Bd Ofed</t>
  </si>
  <si>
    <t>02105715</t>
  </si>
  <si>
    <t>W Windsor Plains Bd Of Ed</t>
  </si>
  <si>
    <t>Southwest Food Service</t>
  </si>
  <si>
    <t>00505805</t>
  </si>
  <si>
    <t>Willingboro Bd Of Ed</t>
  </si>
  <si>
    <t>Burlington</t>
  </si>
  <si>
    <t>03904540</t>
  </si>
  <si>
    <t>Roselle Bd Of Ed</t>
  </si>
  <si>
    <t>02101245</t>
  </si>
  <si>
    <t>East Windsor Reg Boe</t>
  </si>
  <si>
    <t>00702670</t>
  </si>
  <si>
    <t>Lindenwold Boe</t>
  </si>
  <si>
    <t>03503670</t>
  </si>
  <si>
    <t>North Plainfield Bd Ofed</t>
  </si>
  <si>
    <t>02300750</t>
  </si>
  <si>
    <t>Carteret Bd Of Ed</t>
  </si>
  <si>
    <t>00301370</t>
  </si>
  <si>
    <t>Englewood Public School</t>
  </si>
  <si>
    <t>08006215</t>
  </si>
  <si>
    <t>Camdens Promise Charter</t>
  </si>
  <si>
    <t>00502610</t>
  </si>
  <si>
    <t>Lenape Reg Boe</t>
  </si>
  <si>
    <t>08001799</t>
  </si>
  <si>
    <t>Kipp Cooper Norcross Academy At Lanning Square</t>
  </si>
  <si>
    <t>03905090</t>
  </si>
  <si>
    <t>Summit Bd Of Ed</t>
  </si>
  <si>
    <t>02502920</t>
  </si>
  <si>
    <t>Manalapan - Englishtown Regboe</t>
  </si>
  <si>
    <t>01702060</t>
  </si>
  <si>
    <t>Harrison Bd Of Ed</t>
  </si>
  <si>
    <t>03902190</t>
  </si>
  <si>
    <t>Hillside Bd Of Ed</t>
  </si>
  <si>
    <t>02900185</t>
  </si>
  <si>
    <t>Barnegat Twp Bd Of Ed</t>
  </si>
  <si>
    <t>02503030</t>
  </si>
  <si>
    <t>Marlboro Twp Bd Of Ed</t>
  </si>
  <si>
    <t>00301450</t>
  </si>
  <si>
    <t>Fair Lawn Bd Of Ed</t>
  </si>
  <si>
    <t>00500620</t>
  </si>
  <si>
    <t>Burlington Twp Bd Of Ed</t>
  </si>
  <si>
    <t>Burlingon</t>
  </si>
  <si>
    <t>Princeton Foods</t>
  </si>
  <si>
    <t>02503040</t>
  </si>
  <si>
    <t>Matawan- Aberdeen Rg Schd</t>
  </si>
  <si>
    <t>01301390</t>
  </si>
  <si>
    <t>Essex Co Voc Bd Of Ed</t>
  </si>
  <si>
    <t>00301550</t>
  </si>
  <si>
    <t>Fort Lee Bd Of Ed</t>
  </si>
  <si>
    <t>02104255</t>
  </si>
  <si>
    <t>Princeton Public Schools</t>
  </si>
  <si>
    <t>00305150</t>
  </si>
  <si>
    <t>Teaneck Bd Of Ed</t>
  </si>
  <si>
    <t>02902940</t>
  </si>
  <si>
    <t>Manchester Twp Bd Of Ed</t>
  </si>
  <si>
    <t>03500490</t>
  </si>
  <si>
    <t>Bound Brook Bd Of Ed</t>
  </si>
  <si>
    <t>03503320</t>
  </si>
  <si>
    <t>Montgomery Twp Bd Of Ed</t>
  </si>
  <si>
    <t>02704560</t>
  </si>
  <si>
    <t>Roxbury Twp Bd Of Ed</t>
  </si>
  <si>
    <t>08007109</t>
  </si>
  <si>
    <t>Leap Academy University</t>
  </si>
  <si>
    <t>02503510</t>
  </si>
  <si>
    <t>Neptune Twp Bd Of Ed</t>
  </si>
  <si>
    <t>00701770</t>
  </si>
  <si>
    <t>Gloucester City Bd Of Ed</t>
  </si>
  <si>
    <t>01501100</t>
  </si>
  <si>
    <t>Deptford Bd Of Ed</t>
  </si>
  <si>
    <t>02703370</t>
  </si>
  <si>
    <t>Morris Hills Reg Bd Of Ed</t>
  </si>
  <si>
    <t>02502290</t>
  </si>
  <si>
    <t>Howell Twp Bd Of Ed</t>
  </si>
  <si>
    <t>00101790</t>
  </si>
  <si>
    <t>G Egg Harbor Bd Of Ed</t>
  </si>
  <si>
    <t>00300890</t>
  </si>
  <si>
    <t>Cliffside Park Bd Of Ed</t>
  </si>
  <si>
    <t>00302740</t>
  </si>
  <si>
    <t>Lodi Bd Of Ed</t>
  </si>
  <si>
    <t>02704330</t>
  </si>
  <si>
    <t>Randolph Twp Bd Of Ed</t>
  </si>
  <si>
    <t>02304910</t>
  </si>
  <si>
    <t>S Plainfield Bd Of Ed</t>
  </si>
  <si>
    <t>02102580</t>
  </si>
  <si>
    <t>Lawrence Twp Bd Of Ed</t>
  </si>
  <si>
    <t>02703450</t>
  </si>
  <si>
    <t>Mt Olive Twp Bd Of Ed</t>
  </si>
  <si>
    <t>08007503</t>
  </si>
  <si>
    <t>Paterson Charter Sci Tech</t>
  </si>
  <si>
    <t>02102280</t>
  </si>
  <si>
    <t>Hopewell Val Reg Bd Of Ed</t>
  </si>
  <si>
    <t>00303930</t>
  </si>
  <si>
    <t>Paramus Bd Of Ed</t>
  </si>
  <si>
    <t>00501420</t>
  </si>
  <si>
    <t>Evesham Twp Bd Of Ed</t>
  </si>
  <si>
    <t>08006080</t>
  </si>
  <si>
    <t>Passaic Arts And Science Charter School</t>
  </si>
  <si>
    <t>00301345</t>
  </si>
  <si>
    <t>Elmwood Park Bd Of Ed</t>
  </si>
  <si>
    <t>03304630</t>
  </si>
  <si>
    <t>Salem City Bd Of Ed</t>
  </si>
  <si>
    <t>Salem</t>
  </si>
  <si>
    <t>03105650</t>
  </si>
  <si>
    <t>West Milford Bd Of Ed</t>
  </si>
  <si>
    <t>00300300</t>
  </si>
  <si>
    <t>Bergenfield Bd Of Ed</t>
  </si>
  <si>
    <t>02304920</t>
  </si>
  <si>
    <t>South River Bd Of Ed</t>
  </si>
  <si>
    <t>01901510</t>
  </si>
  <si>
    <t>Flem-Raritan Reg Bd Of Ed</t>
  </si>
  <si>
    <t>Hunterdon</t>
  </si>
  <si>
    <t>08007892</t>
  </si>
  <si>
    <t>College Achieve Paterson Cs</t>
  </si>
  <si>
    <t>00305755</t>
  </si>
  <si>
    <t>Westwood Reg Bd Of Ed</t>
  </si>
  <si>
    <t>01702210</t>
  </si>
  <si>
    <t>Hoboken Bd Of Ed</t>
  </si>
  <si>
    <t>02503810</t>
  </si>
  <si>
    <t>Ocean Twp Bd Of Ed</t>
  </si>
  <si>
    <t>00302900</t>
  </si>
  <si>
    <t>Mahwah Twp Bd Of Ed</t>
  </si>
  <si>
    <t>00503360</t>
  </si>
  <si>
    <t>Moorestown Bd Of Ed</t>
  </si>
  <si>
    <t>08006053</t>
  </si>
  <si>
    <t>Great Oaks Legacy Charter School</t>
  </si>
  <si>
    <t>00700700</t>
  </si>
  <si>
    <t>Camden Co Technical School</t>
  </si>
  <si>
    <t>00704110</t>
  </si>
  <si>
    <t>Pine Hill Bd Of Ed</t>
  </si>
  <si>
    <t>00501060</t>
  </si>
  <si>
    <t>Delran Twp School District</t>
  </si>
  <si>
    <t>00503440</t>
  </si>
  <si>
    <t>Mount Laurel Bd Of Ed</t>
  </si>
  <si>
    <t>00500610</t>
  </si>
  <si>
    <t>Burl Co Instit Of Tech</t>
  </si>
  <si>
    <t>01505620</t>
  </si>
  <si>
    <t>West Deptford Bd Of Ed</t>
  </si>
  <si>
    <t>01303750</t>
  </si>
  <si>
    <t>Nutley Boe</t>
  </si>
  <si>
    <t>03705360</t>
  </si>
  <si>
    <t>Vernon Twp Bd Of Ed</t>
  </si>
  <si>
    <t>Sussex</t>
  </si>
  <si>
    <t>03704960</t>
  </si>
  <si>
    <t>Sparta Twp Bd Of Ed</t>
  </si>
  <si>
    <t>01704730</t>
  </si>
  <si>
    <t>Secaucus Bd Of Ed</t>
  </si>
  <si>
    <t>00903130</t>
  </si>
  <si>
    <t>Middle Twp Bd Of Ed</t>
  </si>
  <si>
    <t>Cape May</t>
  </si>
  <si>
    <t>02501660</t>
  </si>
  <si>
    <t>Freehold Twp Bd Of Ed</t>
  </si>
  <si>
    <t>Follow-Up Sent</t>
  </si>
  <si>
    <t>Denied – Overly Broad. Follow-up sent 2026-04-17 to Robert DeVita, narrowing scope to 2015–present.</t>
  </si>
  <si>
    <t>08007210</t>
  </si>
  <si>
    <t>Marion P Thomas Charter</t>
  </si>
  <si>
    <t>03905000</t>
  </si>
  <si>
    <t>Springfield Bd Of Ed</t>
  </si>
  <si>
    <t>03904550</t>
  </si>
  <si>
    <t>Roselle Park Bd Of Ed</t>
  </si>
  <si>
    <t>00500600</t>
  </si>
  <si>
    <t>Burlington City Bd Of Ed</t>
  </si>
  <si>
    <t>01902300</t>
  </si>
  <si>
    <t>Hunterdon Central Regional Hs Boe</t>
  </si>
  <si>
    <t>00705400</t>
  </si>
  <si>
    <t>Voorhees Twp Bd Of Ed</t>
  </si>
  <si>
    <t>02105510</t>
  </si>
  <si>
    <t>Robbinsville Public Schools</t>
  </si>
  <si>
    <t>02702380</t>
  </si>
  <si>
    <t>Jefferson Twp Bd Of Ed</t>
  </si>
  <si>
    <t>02502105</t>
  </si>
  <si>
    <t>Hazlet Twp Bd Of Ed</t>
  </si>
  <si>
    <t>01501730</t>
  </si>
  <si>
    <t>Glassboro Public Schools</t>
  </si>
  <si>
    <t>08006082</t>
  </si>
  <si>
    <t>Beloved Community Charter School</t>
  </si>
  <si>
    <t>00304380</t>
  </si>
  <si>
    <t>Ridgefield Park Bd Of Ed</t>
  </si>
  <si>
    <t>02303150</t>
  </si>
  <si>
    <t>Middlesex Co Voc Bd Of Ed</t>
  </si>
  <si>
    <t>02502400</t>
  </si>
  <si>
    <t>Keansburg Bd Of Ed</t>
  </si>
  <si>
    <t>02501640</t>
  </si>
  <si>
    <t>Freehold Boro Bd Of Ed</t>
  </si>
  <si>
    <t>03102100</t>
  </si>
  <si>
    <t>Hawthorne Bd Of Ed</t>
  </si>
  <si>
    <t>00500840</t>
  </si>
  <si>
    <t>Cinnaminson Twp Boe</t>
  </si>
  <si>
    <t>00905790</t>
  </si>
  <si>
    <t>Wildwood Bd Of Ed</t>
  </si>
  <si>
    <t>08006018</t>
  </si>
  <si>
    <t>Central Jersey College</t>
  </si>
  <si>
    <t>02900320</t>
  </si>
  <si>
    <t>Berkeley Twp Bd Of Ed</t>
  </si>
  <si>
    <t>Partial – SY25-26 Only. Follow-up sent 2026-04-17 to Tyler Verga, requesting prior cycles back to 2015.</t>
  </si>
  <si>
    <t>00300290</t>
  </si>
  <si>
    <t>Bergen Co Voc Bd Of Ed</t>
  </si>
  <si>
    <t>02904950</t>
  </si>
  <si>
    <t>Southern Reg Bd Of Ed</t>
  </si>
  <si>
    <t>08006017</t>
  </si>
  <si>
    <t>Foundation Academy Charter School</t>
  </si>
  <si>
    <t>Red Rabbit</t>
  </si>
  <si>
    <t>02303140</t>
  </si>
  <si>
    <t>Middlesex Bd Of Ed</t>
  </si>
  <si>
    <t>00303910</t>
  </si>
  <si>
    <t>Palisades Park Bd Of Ed</t>
  </si>
  <si>
    <t>03304075</t>
  </si>
  <si>
    <t>Pennsville Bd Of Ed</t>
  </si>
  <si>
    <t>08006057</t>
  </si>
  <si>
    <t>Peoples Achieve Community Charter School (Gateway)</t>
  </si>
  <si>
    <t>02904105</t>
  </si>
  <si>
    <t>Pinelands Regional Bd Of Ed</t>
  </si>
  <si>
    <t>03503000</t>
  </si>
  <si>
    <t>Manville Bd Of Ed</t>
  </si>
  <si>
    <t>02500100</t>
  </si>
  <si>
    <t>Asbury Park Bd Of Ed</t>
  </si>
  <si>
    <t>02704490</t>
  </si>
  <si>
    <t>Rockaway Twp Bd Of Ed</t>
  </si>
  <si>
    <t>00503080</t>
  </si>
  <si>
    <t>Medford Twp Bd Of Ed</t>
  </si>
  <si>
    <t>03900850</t>
  </si>
  <si>
    <t>Clark Bd Of Ed</t>
  </si>
  <si>
    <t>00504320</t>
  </si>
  <si>
    <t>Rancocas Valley Reg Hs</t>
  </si>
  <si>
    <t>01500870</t>
  </si>
  <si>
    <t>Clearview Reg Bd Of Ed</t>
  </si>
  <si>
    <t>08006097</t>
  </si>
  <si>
    <t>Paterson Arts &amp; Sciences Charter School</t>
  </si>
  <si>
    <t>01501715</t>
  </si>
  <si>
    <t>Gateway Reg Bd Of Ed</t>
  </si>
  <si>
    <t>01505860</t>
  </si>
  <si>
    <t>Woodbury Bd Of Ed</t>
  </si>
  <si>
    <t>00100590</t>
  </si>
  <si>
    <t>Buena Reg Bd Of Ed</t>
  </si>
  <si>
    <t>00303600</t>
  </si>
  <si>
    <t>North Arlington Bd Ofed</t>
  </si>
  <si>
    <t>01300660</t>
  </si>
  <si>
    <t>Caldwell-West Caldwell Boe</t>
  </si>
  <si>
    <t>01504020</t>
  </si>
  <si>
    <t>Paulsboro Bd Of Ed</t>
  </si>
  <si>
    <t>03504820</t>
  </si>
  <si>
    <t>Somerville Bd Of Ed</t>
  </si>
  <si>
    <t>02303120</t>
  </si>
  <si>
    <t>Metuchen Bd Of Ed</t>
  </si>
  <si>
    <t>00300745</t>
  </si>
  <si>
    <t>Carl E Ruth Reg Bd Of Ed</t>
  </si>
  <si>
    <t>08006105</t>
  </si>
  <si>
    <t>Philips Academy Charter School Of Paterson</t>
  </si>
  <si>
    <t>02702870</t>
  </si>
  <si>
    <t>Madison Boro Bd Of Ed</t>
  </si>
  <si>
    <t>00302860</t>
  </si>
  <si>
    <t>Lyndhurst Twp Bd Of Ed</t>
  </si>
  <si>
    <t>01500860</t>
  </si>
  <si>
    <t>Clayton Bd Of Ed</t>
  </si>
  <si>
    <t>00303550</t>
  </si>
  <si>
    <t>New Milford Bd Of Ed</t>
  </si>
  <si>
    <t>02505310</t>
  </si>
  <si>
    <t>Upper Freehold Reg Bdofed</t>
  </si>
  <si>
    <t>00500605</t>
  </si>
  <si>
    <t>Burl Co Sp Serv Sch Dist</t>
  </si>
  <si>
    <t>08006021</t>
  </si>
  <si>
    <t>Community Charter School Of Paterson</t>
  </si>
  <si>
    <t>00302620</t>
  </si>
  <si>
    <t>Leonia Bd Of Ed</t>
  </si>
  <si>
    <t>00304370</t>
  </si>
  <si>
    <t>Ridgefield Bd Of Ed</t>
  </si>
  <si>
    <t>02302150</t>
  </si>
  <si>
    <t>Highland Park Bd Of Ed</t>
  </si>
  <si>
    <t>02902690</t>
  </si>
  <si>
    <t>Little Egg Harbor Bd Ed</t>
  </si>
  <si>
    <t>00700940</t>
  </si>
  <si>
    <t>Collingswood Bd Of Ed</t>
  </si>
  <si>
    <t>04101870</t>
  </si>
  <si>
    <t>Hackettstown Bd Of Ed</t>
  </si>
  <si>
    <t>02905020</t>
  </si>
  <si>
    <t>Stafford Twp Bd Of Ed</t>
  </si>
  <si>
    <t>03702240</t>
  </si>
  <si>
    <t>Hopatcong Bd Of Ed</t>
  </si>
  <si>
    <t>00701900</t>
  </si>
  <si>
    <t>Haddonfield Bd Of Ed</t>
  </si>
  <si>
    <t>01409844</t>
  </si>
  <si>
    <t>St. Benedict'S Preparatory School</t>
  </si>
  <si>
    <t>02904210</t>
  </si>
  <si>
    <t>Point Pleasant Bd Of Ed</t>
  </si>
  <si>
    <t>02504360</t>
  </si>
  <si>
    <t>Red Bank Borough Boe</t>
  </si>
  <si>
    <t>00304610</t>
  </si>
  <si>
    <t>Saddle Brook Twp Bd Of Ed</t>
  </si>
  <si>
    <t>04105465</t>
  </si>
  <si>
    <t>Warren Hills Reg Bd Of Ed</t>
  </si>
  <si>
    <t>01505120</t>
  </si>
  <si>
    <t>Swedesboro- Wlwch Bd Of Ed</t>
  </si>
  <si>
    <t>00504450</t>
  </si>
  <si>
    <t>Riverside Twp Bd Of Ed</t>
  </si>
  <si>
    <t>00500475</t>
  </si>
  <si>
    <t>Bordentown Reg Bd Of Ed</t>
  </si>
  <si>
    <t>Burllngton</t>
  </si>
  <si>
    <t>01100995</t>
  </si>
  <si>
    <t>Cumb Co Voc Boe</t>
  </si>
  <si>
    <t>01504940</t>
  </si>
  <si>
    <t>Delsea Reg Hs District</t>
  </si>
  <si>
    <t>00700260</t>
  </si>
  <si>
    <t>Bellmawr Bd Of Ed</t>
  </si>
  <si>
    <t>00300440</t>
  </si>
  <si>
    <t>Bogota Bd Of Ed</t>
  </si>
  <si>
    <t>00903780</t>
  </si>
  <si>
    <t>Ocean City Bd Of Ed</t>
  </si>
  <si>
    <t>02304830</t>
  </si>
  <si>
    <t>South Amboy Bd Of Ed</t>
  </si>
  <si>
    <t>08006013</t>
  </si>
  <si>
    <t>Bergen Arts And Science Charter School</t>
  </si>
  <si>
    <t>01904350</t>
  </si>
  <si>
    <t>Readington Twp Bd Of Ed</t>
  </si>
  <si>
    <t>08006103</t>
  </si>
  <si>
    <t>Empowerment Acad Charter School</t>
  </si>
  <si>
    <t>08007735</t>
  </si>
  <si>
    <t>Maria L. Varisco/Roger S</t>
  </si>
  <si>
    <t>02301140</t>
  </si>
  <si>
    <t>Dunellen Bd Of Ed</t>
  </si>
  <si>
    <t>00304310</t>
  </si>
  <si>
    <t>Ramsey Bd Of Ed</t>
  </si>
  <si>
    <t>02502930</t>
  </si>
  <si>
    <t>Manasquan Bd Of Ed</t>
  </si>
  <si>
    <t>Culinary Classics</t>
  </si>
  <si>
    <t>03105690</t>
  </si>
  <si>
    <t>Woodland Park Public Schools</t>
  </si>
  <si>
    <t>00502850</t>
  </si>
  <si>
    <t>Lumberton Bd Of Ed</t>
  </si>
  <si>
    <t>02700450</t>
  </si>
  <si>
    <t>Boonton Town Bd Of Ed</t>
  </si>
  <si>
    <t>00501520</t>
  </si>
  <si>
    <t>Florence Twp Bd Of Ed</t>
  </si>
  <si>
    <t>00701890</t>
  </si>
  <si>
    <t>Haddon Twp Bd Of Ed</t>
  </si>
  <si>
    <t>03504815</t>
  </si>
  <si>
    <t>Somerset Hills School Dis</t>
  </si>
  <si>
    <t>00303760</t>
  </si>
  <si>
    <t>Oakland Bd Of Ed</t>
  </si>
  <si>
    <t>02702460</t>
  </si>
  <si>
    <t>Kinnelon Boro Bd Of Ed</t>
  </si>
  <si>
    <t>02705520</t>
  </si>
  <si>
    <t>Washington Twp Bd Of Ed</t>
  </si>
  <si>
    <t>00302080</t>
  </si>
  <si>
    <t>Hasbrouck Hgts Boe</t>
  </si>
  <si>
    <t>03101920</t>
  </si>
  <si>
    <t>Haledon Bd Of Ed</t>
  </si>
  <si>
    <t>03500510</t>
  </si>
  <si>
    <t>Branchburg Twp Bd Of Ed</t>
  </si>
  <si>
    <t>00305830</t>
  </si>
  <si>
    <t>Wood-Ridge Bd Of Ed</t>
  </si>
  <si>
    <t>02505185</t>
  </si>
  <si>
    <t>Tinton Falls Bd Of Ed</t>
  </si>
  <si>
    <t>01100997</t>
  </si>
  <si>
    <t>Cumberland Reg Bd Of Ed</t>
  </si>
  <si>
    <t>00701255</t>
  </si>
  <si>
    <t>Eastern Cam Co Reg Boe</t>
  </si>
  <si>
    <t>01501774</t>
  </si>
  <si>
    <t>Gloucester Co Spec Serv</t>
  </si>
  <si>
    <t>00503650</t>
  </si>
  <si>
    <t>North Hanover Boe</t>
  </si>
  <si>
    <t>08007730</t>
  </si>
  <si>
    <t>Robert Treat Academy</t>
  </si>
  <si>
    <t>01501590</t>
  </si>
  <si>
    <t>Franklin Twp Bd Of Ed</t>
  </si>
  <si>
    <t>02103103</t>
  </si>
  <si>
    <t>Mercer Co Special Servicessd</t>
  </si>
  <si>
    <t>00505720</t>
  </si>
  <si>
    <t>Westampton Twp Bd Of Ed</t>
  </si>
  <si>
    <t>03703590</t>
  </si>
  <si>
    <t>Newton Bd Of Ed</t>
  </si>
  <si>
    <t>02502430</t>
  </si>
  <si>
    <t>Keyport Bd Of Ed</t>
  </si>
  <si>
    <t>03902420</t>
  </si>
  <si>
    <t>Kenilworth Bd Of Ed</t>
  </si>
  <si>
    <t>03104230</t>
  </si>
  <si>
    <t>Pompton Lakes Bd Of Ed</t>
  </si>
  <si>
    <t>03104270</t>
  </si>
  <si>
    <t>Prospect Park Bd Of Ed</t>
  </si>
  <si>
    <t>01900920</t>
  </si>
  <si>
    <t>Clinton Twp Bd Of Ed</t>
  </si>
  <si>
    <t>00301360</t>
  </si>
  <si>
    <t>Emerson Bd Of Ed</t>
  </si>
  <si>
    <t>02304970</t>
  </si>
  <si>
    <t>Spotswood Bd Of Ed</t>
  </si>
  <si>
    <t>08006106</t>
  </si>
  <si>
    <t>Hudson Arts &amp; Science Charter School</t>
  </si>
  <si>
    <t>01300760</t>
  </si>
  <si>
    <t>Cedar Grove Bd Of Ed</t>
  </si>
  <si>
    <t>03103990</t>
  </si>
  <si>
    <t>Passaic Valley Reg Hs Boe</t>
  </si>
  <si>
    <t>00700150</t>
  </si>
  <si>
    <t>Audubon Bd Of Ed</t>
  </si>
  <si>
    <t>01701850</t>
  </si>
  <si>
    <t>Guttenberg Bd Of Ed</t>
  </si>
  <si>
    <t>02501456</t>
  </si>
  <si>
    <t>Henry Hudson Regional School District</t>
  </si>
  <si>
    <t>03305910</t>
  </si>
  <si>
    <t>Wdstwn Pilsgr Reg Bd O Ed</t>
  </si>
  <si>
    <t>08007893</t>
  </si>
  <si>
    <t>Ocean Academy Charter School</t>
  </si>
  <si>
    <t>01705580</t>
  </si>
  <si>
    <t>Weehawken Bd Of Ed</t>
  </si>
  <si>
    <t>03104400</t>
  </si>
  <si>
    <t>Ringwood Bd Of Ed</t>
  </si>
  <si>
    <t>00301130</t>
  </si>
  <si>
    <t>Dumont Bd Of Ed</t>
  </si>
  <si>
    <t>00503920</t>
  </si>
  <si>
    <t>Palmyra Bd Of Ed</t>
  </si>
  <si>
    <t>03102700</t>
  </si>
  <si>
    <t>Little Falls Twp Bd Of Ed</t>
  </si>
  <si>
    <t>00705035</t>
  </si>
  <si>
    <t>Sterling High School</t>
  </si>
  <si>
    <t>00501280</t>
  </si>
  <si>
    <t>Edgewater Park Bd Of Ed</t>
  </si>
  <si>
    <t>00503430</t>
  </si>
  <si>
    <t>Mount Holly Bd Of Ed</t>
  </si>
  <si>
    <t>03105200</t>
  </si>
  <si>
    <t>Totowa Bd Of Ed</t>
  </si>
  <si>
    <t>02503200</t>
  </si>
  <si>
    <t>Millstone Twp Bd Of Ed</t>
  </si>
  <si>
    <t>00101300</t>
  </si>
  <si>
    <t>Egg Harbor City Bd Of Ed</t>
  </si>
  <si>
    <t>02700630</t>
  </si>
  <si>
    <t>Butler Boro Bd Of Ed</t>
  </si>
  <si>
    <t>03702165</t>
  </si>
  <si>
    <t>High Point Reg Bd Of Ed</t>
  </si>
  <si>
    <t>00100010</t>
  </si>
  <si>
    <t>Absecon Bd Of Ed</t>
  </si>
  <si>
    <t>02501260</t>
  </si>
  <si>
    <t>Eatontown Bd Of Ed</t>
  </si>
  <si>
    <t>02700820</t>
  </si>
  <si>
    <t>Chester Twp Bd Of Ed</t>
  </si>
  <si>
    <t>00701880</t>
  </si>
  <si>
    <t>Haddon Heights Bd Of Ed</t>
  </si>
  <si>
    <t>01901376</t>
  </si>
  <si>
    <t>South Hunterdon Reg Sd</t>
  </si>
  <si>
    <t>00303170</t>
  </si>
  <si>
    <t>Midland Park Bd Of Ed</t>
  </si>
  <si>
    <t>03705100</t>
  </si>
  <si>
    <t>Sussex- Wantage Rg Bd Ed</t>
  </si>
  <si>
    <t>03705110</t>
  </si>
  <si>
    <t>Sussex Co Voc Bd Of Ed</t>
  </si>
  <si>
    <t>00300285</t>
  </si>
  <si>
    <t>Bergen Co Spec Serv</t>
  </si>
  <si>
    <t>01105300</t>
  </si>
  <si>
    <t>Up Deerfield Twp Bd Of Ed</t>
  </si>
  <si>
    <t>00104800</t>
  </si>
  <si>
    <t>Somers Point</t>
  </si>
  <si>
    <t>02504365</t>
  </si>
  <si>
    <t>Red Bank Reg Bd Of Ed</t>
  </si>
  <si>
    <t>01901050</t>
  </si>
  <si>
    <t>Del Val Reg H S Bd Of Ed</t>
  </si>
  <si>
    <t>00301230</t>
  </si>
  <si>
    <t>East Rutherford Bd Ofed</t>
  </si>
  <si>
    <t>02904190</t>
  </si>
  <si>
    <t>Plumsted Twp Bd Of Ed</t>
  </si>
  <si>
    <t>Denied – Overly Broad. Follow-up sent 2026-04-17 to Sean Gately, narrowing scope to 2015–present.</t>
  </si>
  <si>
    <t>00302710</t>
  </si>
  <si>
    <t>Little Ferry Bd Of Ed</t>
  </si>
  <si>
    <t>03105440</t>
  </si>
  <si>
    <t>Wanaque Bd Of Ed</t>
  </si>
  <si>
    <t>00705080</t>
  </si>
  <si>
    <t>Stratford Bd Of Ed</t>
  </si>
  <si>
    <t>01504140</t>
  </si>
  <si>
    <t>Pitman Bd Of Ed</t>
  </si>
  <si>
    <t>03102510</t>
  </si>
  <si>
    <t>Lakeland Reg Hs Bd Of Ed</t>
  </si>
  <si>
    <t>00905340</t>
  </si>
  <si>
    <t>Upper Twp Bd Of Ed</t>
  </si>
  <si>
    <t>02702650</t>
  </si>
  <si>
    <t>Lincoln Park Boro Bd O Ed</t>
  </si>
  <si>
    <t>01100950</t>
  </si>
  <si>
    <t>Commercial Twp Bd Of Ed</t>
  </si>
  <si>
    <t>02302370</t>
  </si>
  <si>
    <t>Jamesburg Bd Of Ed</t>
  </si>
  <si>
    <t>00700880</t>
  </si>
  <si>
    <t>Clementon Bd Of Ed</t>
  </si>
  <si>
    <t>00900720</t>
  </si>
  <si>
    <t>Cape May Co Voc Bd Of Ed</t>
  </si>
  <si>
    <t>02503270</t>
  </si>
  <si>
    <t>Monmouth Reg Bd Of Ed</t>
  </si>
  <si>
    <t>03905260</t>
  </si>
  <si>
    <t>Union Co Voc Tech</t>
  </si>
  <si>
    <t>00102910</t>
  </si>
  <si>
    <t>Mainland Reg Bd Of Ed</t>
  </si>
  <si>
    <t>00303060</t>
  </si>
  <si>
    <t>Maywood Bd Of Ed</t>
  </si>
  <si>
    <t>00809277</t>
  </si>
  <si>
    <t>Archway Programs</t>
  </si>
  <si>
    <t>02702000</t>
  </si>
  <si>
    <t>Hanover Twp Boe</t>
  </si>
  <si>
    <t>00609621</t>
  </si>
  <si>
    <t>Legacy Treatment Services</t>
  </si>
  <si>
    <t>00103720</t>
  </si>
  <si>
    <t>Northfield Boe</t>
  </si>
  <si>
    <t>01502070</t>
  </si>
  <si>
    <t>Harrison Twp Bd Of Ed</t>
  </si>
  <si>
    <t>00302180</t>
  </si>
  <si>
    <t>Hillsdale Bd Of Ed</t>
  </si>
  <si>
    <t>02705770</t>
  </si>
  <si>
    <t>Wharton Boro Bd Of Ed</t>
  </si>
  <si>
    <t>00700330</t>
  </si>
  <si>
    <t>Berlin Boro Bd Of Ed</t>
  </si>
  <si>
    <t>03702465</t>
  </si>
  <si>
    <t>Kittatinny Reg Hs Bd Ed</t>
  </si>
  <si>
    <t>00705560</t>
  </si>
  <si>
    <t>Waterford Twp Bd Of Ed</t>
  </si>
  <si>
    <t>00300740</t>
  </si>
  <si>
    <t>Carlstadt Bd Of Ed</t>
  </si>
  <si>
    <t>01502750</t>
  </si>
  <si>
    <t>Logan Twp Bd Of Ed</t>
  </si>
  <si>
    <t>03702615</t>
  </si>
  <si>
    <t>Lenape Val Rg Hs Bd Of Ed</t>
  </si>
  <si>
    <t>08006099</t>
  </si>
  <si>
    <t>Link Community Charter School</t>
  </si>
  <si>
    <t>00702560</t>
  </si>
  <si>
    <t>Lawnside Bd Of Ed</t>
  </si>
  <si>
    <t>03100420</t>
  </si>
  <si>
    <t>Bloomingdale</t>
  </si>
  <si>
    <t>00705900</t>
  </si>
  <si>
    <t>Woodlynne Public School</t>
  </si>
  <si>
    <t>02703365</t>
  </si>
  <si>
    <t>Morris Co Voc</t>
  </si>
  <si>
    <t>03501810</t>
  </si>
  <si>
    <t>Green Brook Twp Public Schools</t>
  </si>
  <si>
    <t>00103480</t>
  </si>
  <si>
    <t>Mullica Twp Bd Of Ed</t>
  </si>
  <si>
    <t>00700340</t>
  </si>
  <si>
    <t>Berlin Twp Bd Of Ed</t>
  </si>
  <si>
    <t>04102970</t>
  </si>
  <si>
    <t>Mansfield Twp Bd Of Ed</t>
  </si>
  <si>
    <t>08006915</t>
  </si>
  <si>
    <t>Jc Golden Door Charter Sc</t>
  </si>
  <si>
    <t>00105350</t>
  </si>
  <si>
    <t>Ventnor City Bd Of Ed</t>
  </si>
  <si>
    <t>01102270</t>
  </si>
  <si>
    <t>Hopewell Twp Bd Of Ed</t>
  </si>
  <si>
    <t>03903470</t>
  </si>
  <si>
    <t>Mountainside Boe</t>
  </si>
  <si>
    <t>02500270</t>
  </si>
  <si>
    <t>Belmar Bd Of Ed</t>
  </si>
  <si>
    <t>02303220</t>
  </si>
  <si>
    <t>Milltown Bd Of Ed</t>
  </si>
  <si>
    <t>02505230</t>
  </si>
  <si>
    <t>Union Beach Bd Of Ed</t>
  </si>
  <si>
    <t>08008140</t>
  </si>
  <si>
    <t>Village Charter School</t>
  </si>
  <si>
    <t>04102790</t>
  </si>
  <si>
    <t>Lopatcong Twp Bd Of Ed</t>
  </si>
  <si>
    <t>08007902</t>
  </si>
  <si>
    <t>Thrive Charter School</t>
  </si>
  <si>
    <t>00505130</t>
  </si>
  <si>
    <t>Tabernacle Twp Bd Of Ed</t>
  </si>
  <si>
    <t>04105480</t>
  </si>
  <si>
    <t>Washington Boro Bd Of Ed</t>
  </si>
  <si>
    <t>04101840</t>
  </si>
  <si>
    <t>Greenwich Bd Of Ed</t>
  </si>
  <si>
    <t>03701570</t>
  </si>
  <si>
    <t>Franklin Boro Bd Of Ed</t>
  </si>
  <si>
    <t>02903820</t>
  </si>
  <si>
    <t>03905245</t>
  </si>
  <si>
    <t>Union Co Ed Services Comm</t>
  </si>
  <si>
    <t>04103675</t>
  </si>
  <si>
    <t>North Warren Reg Bd Of Ed</t>
  </si>
  <si>
    <t>00700190</t>
  </si>
  <si>
    <t>Barrington Bd Of Ed</t>
  </si>
  <si>
    <t>00500380</t>
  </si>
  <si>
    <t>Beverly City Bd Of Ed</t>
  </si>
  <si>
    <t>03504850</t>
  </si>
  <si>
    <t>South Bound Brook Bd Of Ed</t>
  </si>
  <si>
    <t>03903395</t>
  </si>
  <si>
    <t>Morris Union Jointure Com</t>
  </si>
  <si>
    <t>03700640</t>
  </si>
  <si>
    <t>Byram Twp Bd Of Ed</t>
  </si>
  <si>
    <t>00304470</t>
  </si>
  <si>
    <t>Rochelle Park Bd Of Ed</t>
  </si>
  <si>
    <t>02704480</t>
  </si>
  <si>
    <t>Rockaway Boro Bd Of Ed</t>
  </si>
  <si>
    <t>01501830</t>
  </si>
  <si>
    <t>Greenwich Twp Bd Of Ed</t>
  </si>
  <si>
    <t>00501910</t>
  </si>
  <si>
    <t>Hainesport Bd Of Ed</t>
  </si>
  <si>
    <t>01409375</t>
  </si>
  <si>
    <t>Spectrum 360</t>
  </si>
  <si>
    <t>00504740</t>
  </si>
  <si>
    <t>Shamong Twp Bd Of Ed</t>
  </si>
  <si>
    <t>00304845</t>
  </si>
  <si>
    <t>South Bergen Jointure Commission</t>
  </si>
  <si>
    <t>03103640</t>
  </si>
  <si>
    <t>North Haledon Bd Of Ed</t>
  </si>
  <si>
    <t>04100280</t>
  </si>
  <si>
    <t>Belvidere Bd Of Ed</t>
  </si>
  <si>
    <t>04101785</t>
  </si>
  <si>
    <t>Great Meadows Reg</t>
  </si>
  <si>
    <t>00301270</t>
  </si>
  <si>
    <t>Edgewater Bd Of Ed</t>
  </si>
  <si>
    <t>00900715</t>
  </si>
  <si>
    <t>Cape May Sp Serv</t>
  </si>
  <si>
    <t>00905840</t>
  </si>
  <si>
    <t>Woodbine Bd Of Ed</t>
  </si>
  <si>
    <t>08006076</t>
  </si>
  <si>
    <t>Benjamin Bannecker Prep Charterschool</t>
  </si>
  <si>
    <t>00504930</t>
  </si>
  <si>
    <t>Southampton Twp Bd Of Ed</t>
  </si>
  <si>
    <t>01102570</t>
  </si>
  <si>
    <t>00303940</t>
  </si>
  <si>
    <t>Park Ridge Bd Of Ed</t>
  </si>
  <si>
    <t>00501250</t>
  </si>
  <si>
    <t>Eastampton Twp Bd Of Ed</t>
  </si>
  <si>
    <t>08007410</t>
  </si>
  <si>
    <t>Charter Tech Hs (02910)</t>
  </si>
  <si>
    <t>03705435</t>
  </si>
  <si>
    <t>Wallkill Val Rg Bd Of Ed</t>
  </si>
  <si>
    <t>00703420</t>
  </si>
  <si>
    <t>Mount Ephraim Bd Of Ed</t>
  </si>
  <si>
    <t>02503830</t>
  </si>
  <si>
    <t>Oceanport Bd Of Ed</t>
  </si>
  <si>
    <t>08008010</t>
  </si>
  <si>
    <t>Union Co Teams Charter</t>
  </si>
  <si>
    <t>00704790</t>
  </si>
  <si>
    <t>Somerdale Bd Of Ed</t>
  </si>
  <si>
    <t>02300970</t>
  </si>
  <si>
    <t>Cranbury Bd Of Ed</t>
  </si>
  <si>
    <t>01900910</t>
  </si>
  <si>
    <t>Clinton-Glen Gardner Boe</t>
  </si>
  <si>
    <t>08007115</t>
  </si>
  <si>
    <t>Learning Comm Charter</t>
  </si>
  <si>
    <t>03700090</t>
  </si>
  <si>
    <t>Andover Regional Boe</t>
  </si>
  <si>
    <t>01304530</t>
  </si>
  <si>
    <t>Roseland Bd Of Ed</t>
  </si>
  <si>
    <t>02902500</t>
  </si>
  <si>
    <t>Lakehurst Bd Of Ed</t>
  </si>
  <si>
    <t>08008060</t>
  </si>
  <si>
    <t>University Acad Charter</t>
  </si>
  <si>
    <t>01701200</t>
  </si>
  <si>
    <t>East Newark Bd Of Ed</t>
  </si>
  <si>
    <t>01101020</t>
  </si>
  <si>
    <t>Deerfield Twp Bd Of Ed</t>
  </si>
  <si>
    <t>08008050</t>
  </si>
  <si>
    <t>Unity Charter School</t>
  </si>
  <si>
    <t>04105460</t>
  </si>
  <si>
    <t>Warren Co Voc Bd Of Ed</t>
  </si>
  <si>
    <t>02703240</t>
  </si>
  <si>
    <t>Mine Hill Twp Bd Of Ed</t>
  </si>
  <si>
    <t>00502960</t>
  </si>
  <si>
    <t>01902600</t>
  </si>
  <si>
    <t>Lebanon Twp Bd Of Ed</t>
  </si>
  <si>
    <t>02904220</t>
  </si>
  <si>
    <t>Pt Pleasant Beach Bd Ed</t>
  </si>
  <si>
    <t>Café'Terias</t>
  </si>
  <si>
    <t>02703410</t>
  </si>
  <si>
    <t>Mt Arlington Bd Of Ed</t>
  </si>
  <si>
    <t>08006030</t>
  </si>
  <si>
    <t>Ethical Community Charter School</t>
  </si>
  <si>
    <t>00901080</t>
  </si>
  <si>
    <t>Dennis Twp Bd Of Ed</t>
  </si>
  <si>
    <t>01902220</t>
  </si>
  <si>
    <t>Holland Twp Bd Of Ed</t>
  </si>
  <si>
    <t>08006081</t>
  </si>
  <si>
    <t>Thomas Edison Energy Smart Charterschool</t>
  </si>
  <si>
    <t>04105530</t>
  </si>
  <si>
    <t>00100570</t>
  </si>
  <si>
    <t>Brigantine Bd Of Ed</t>
  </si>
  <si>
    <t>08007540</t>
  </si>
  <si>
    <t>Princeton Charter School</t>
  </si>
  <si>
    <t>01905270</t>
  </si>
  <si>
    <t>Union Twp Bd Of Ed</t>
  </si>
  <si>
    <t>02500500</t>
  </si>
  <si>
    <t>Bradley Beach Bd Of Ed</t>
  </si>
  <si>
    <t>00700580</t>
  </si>
  <si>
    <t>Brooklawn Bd Of Ed</t>
  </si>
  <si>
    <t>04100030</t>
  </si>
  <si>
    <t>Allamuchy Twp Bd Of Ed</t>
  </si>
  <si>
    <t>03701560</t>
  </si>
  <si>
    <t>Frankford Twp Bd Of Ed</t>
  </si>
  <si>
    <t>02504760</t>
  </si>
  <si>
    <t>Shore Reg Hs Dist</t>
  </si>
  <si>
    <t>03702030</t>
  </si>
  <si>
    <t>Hardyston Twp Bd Of Ed</t>
  </si>
  <si>
    <t>03500240</t>
  </si>
  <si>
    <t>Bedminster Twp Bd Of Ed</t>
  </si>
  <si>
    <t>03705030</t>
  </si>
  <si>
    <t>Stanhope Bd Of Ed</t>
  </si>
  <si>
    <t>00702890</t>
  </si>
  <si>
    <t>Magnolia Public Schools</t>
  </si>
  <si>
    <t>02703380</t>
  </si>
  <si>
    <t>Morris Plains Boe</t>
  </si>
  <si>
    <t>04100400</t>
  </si>
  <si>
    <t>Blairstown Bd Of Ed</t>
  </si>
  <si>
    <t>01504880</t>
  </si>
  <si>
    <t>South Harrison Bd Of Ed</t>
  </si>
  <si>
    <t>01609681</t>
  </si>
  <si>
    <t>St Mary School</t>
  </si>
  <si>
    <t>00500830</t>
  </si>
  <si>
    <t>Chesterfield Twp Bd Of Ed</t>
  </si>
  <si>
    <t>01901160</t>
  </si>
  <si>
    <t>East Amwell Twp Bd Of Ed</t>
  </si>
  <si>
    <t>03504810</t>
  </si>
  <si>
    <t>Somerset Co Voc Bd Of Ed</t>
  </si>
  <si>
    <t>03701930</t>
  </si>
  <si>
    <t>Hamburg Boe</t>
  </si>
  <si>
    <t>03209799</t>
  </si>
  <si>
    <t>Acad Of St James Of The Marches</t>
  </si>
  <si>
    <t>00501030</t>
  </si>
  <si>
    <t>Delanco Bd Of Ed</t>
  </si>
  <si>
    <t>02505640</t>
  </si>
  <si>
    <t>West Long Branch</t>
  </si>
  <si>
    <t>01501330</t>
  </si>
  <si>
    <t>Elk Twp Bd Of Ed</t>
  </si>
  <si>
    <t>02503500</t>
  </si>
  <si>
    <t>Neptune City Bd Of Ed</t>
  </si>
  <si>
    <t>01900370</t>
  </si>
  <si>
    <t>Bethlehem Twp Bd Of Ed</t>
  </si>
  <si>
    <t>03705040</t>
  </si>
  <si>
    <t>Stillwater Twp Bd Of Ed</t>
  </si>
  <si>
    <t>01900020</t>
  </si>
  <si>
    <t>Alexandria Twp Bd Of Ed</t>
  </si>
  <si>
    <t>03901710</t>
  </si>
  <si>
    <t>Garwood Bd Of Ed</t>
  </si>
  <si>
    <t>01902140</t>
  </si>
  <si>
    <t>High Bridge Bor Bd Of Ed</t>
  </si>
  <si>
    <t>01901040</t>
  </si>
  <si>
    <t>Delaware Twp Bd Of Ed</t>
  </si>
  <si>
    <t>08006430</t>
  </si>
  <si>
    <t>Englewood On The Palisade</t>
  </si>
  <si>
    <t>04104200</t>
  </si>
  <si>
    <t>Pohatcong Twp Bd Of Ed</t>
  </si>
  <si>
    <t>02703520</t>
  </si>
  <si>
    <t>Netcong Boro Bd Of Ed</t>
  </si>
  <si>
    <t>03305320</t>
  </si>
  <si>
    <t>Upper Pittsgrove Bd Ofed</t>
  </si>
  <si>
    <t>01901600</t>
  </si>
  <si>
    <t>Franklin Twp Boe</t>
  </si>
  <si>
    <t>00703110</t>
  </si>
  <si>
    <t>Merchantville School District</t>
  </si>
  <si>
    <t>03701800</t>
  </si>
  <si>
    <t>Green Twp Bd Of Ed</t>
  </si>
  <si>
    <t>00703770</t>
  </si>
  <si>
    <t>Oaklyn Bd Of Ed</t>
  </si>
  <si>
    <t>01902450</t>
  </si>
  <si>
    <t>Kingwood Twp Bd Of Ed</t>
  </si>
  <si>
    <t>00800273</t>
  </si>
  <si>
    <t>John Paul Ii Reg</t>
  </si>
  <si>
    <t>00409697</t>
  </si>
  <si>
    <t>Community High School</t>
  </si>
  <si>
    <t>03701980</t>
  </si>
  <si>
    <t>Hampton Twp Bd Of Ed</t>
  </si>
  <si>
    <t>04103890</t>
  </si>
  <si>
    <t>Oxford Twp Bd Of Ed</t>
  </si>
  <si>
    <t>00101410</t>
  </si>
  <si>
    <t>Estell Manor Bd Of Ed</t>
  </si>
  <si>
    <t>03702490</t>
  </si>
  <si>
    <t>Lafayette Twp Bd Of Ed</t>
  </si>
  <si>
    <t>02504990</t>
  </si>
  <si>
    <t>Spring Lk Hghts Bd Of Ed</t>
  </si>
  <si>
    <t>03703840</t>
  </si>
  <si>
    <t>Ogdensburg Bd Of Ed</t>
  </si>
  <si>
    <t>02409555</t>
  </si>
  <si>
    <t>Perth Amboy Catholic Sch</t>
  </si>
  <si>
    <t>04101620</t>
  </si>
  <si>
    <t>04105780</t>
  </si>
  <si>
    <t>White Twp Bd Of Ed</t>
  </si>
  <si>
    <t>00505010</t>
  </si>
  <si>
    <t>Springfield Twp Bd Of Ed</t>
  </si>
  <si>
    <t>04102040</t>
  </si>
  <si>
    <t>Harmony Bd Of Ed</t>
  </si>
  <si>
    <t>01101120</t>
  </si>
  <si>
    <t>Downe Twp Bd Of Ed</t>
  </si>
  <si>
    <t>03701630</t>
  </si>
  <si>
    <t>Fredon Twp Bd Of Ed</t>
  </si>
  <si>
    <t>00105760</t>
  </si>
  <si>
    <t>Weymouth Twp Bd Of Ed</t>
  </si>
  <si>
    <t>00503540</t>
  </si>
  <si>
    <t>New Hanover Twp Bd Of Ed</t>
  </si>
  <si>
    <t>04100070</t>
  </si>
  <si>
    <t>Alpha Bd Of Ed</t>
  </si>
  <si>
    <t>03905810</t>
  </si>
  <si>
    <t>Winfield Bd Of Ed</t>
  </si>
  <si>
    <t>02809475</t>
  </si>
  <si>
    <t>Montgomery Academy</t>
  </si>
  <si>
    <t>04102470</t>
  </si>
  <si>
    <t>Knowlton Twp Bd Of Ed</t>
  </si>
  <si>
    <t>00454827</t>
  </si>
  <si>
    <t>Bergen Center For Child</t>
  </si>
  <si>
    <t>01900430</t>
  </si>
  <si>
    <t>Bloomsbury Bd Of Ed</t>
  </si>
  <si>
    <t>01901970</t>
  </si>
  <si>
    <t>Hampton Bor Bd Of Ed</t>
  </si>
  <si>
    <t>00700680</t>
  </si>
  <si>
    <t>Camden City Bd Of Ed</t>
  </si>
  <si>
    <t>08006101</t>
  </si>
  <si>
    <t>College Achieve Central Charter School</t>
  </si>
  <si>
    <t>04101670</t>
  </si>
  <si>
    <t>Frelinghuysen Bd Of Ed</t>
  </si>
  <si>
    <t>01302330</t>
  </si>
  <si>
    <t>Irvington Bd Of Ed</t>
  </si>
  <si>
    <t>01303310</t>
  </si>
  <si>
    <t>Montclair Bd Of Ed</t>
  </si>
  <si>
    <t>00503690</t>
  </si>
  <si>
    <t>Northern Burlington Co Regbdofed</t>
  </si>
  <si>
    <t>01303880</t>
  </si>
  <si>
    <t>Orange Bd Of Ed</t>
  </si>
  <si>
    <t>03104010</t>
  </si>
  <si>
    <t>Paterson Bd Of Ed</t>
  </si>
  <si>
    <t>03304150</t>
  </si>
  <si>
    <t>Pittsgrove Twp Bd Of Ed</t>
  </si>
  <si>
    <t>01705670</t>
  </si>
  <si>
    <t>West New York Bd Of Ed</t>
  </si>
  <si>
    <t>08006094</t>
  </si>
  <si>
    <t>Philips Acad Cs (Newark)</t>
  </si>
  <si>
    <t>Bay Head School District</t>
  </si>
  <si>
    <t>AI Reviewed – N/A</t>
  </si>
  <si>
    <t>N/A – No Lunch Program (AI reviewed response). No further action needed.</t>
  </si>
  <si>
    <t>Beach Haven Board of Education</t>
  </si>
  <si>
    <t>Brick Township School District</t>
  </si>
  <si>
    <t>Central Regional School District</t>
  </si>
  <si>
    <t>Partial – 2014 Only. Follow-up sent 2026-04-17 to Kevin O'Shea, requesting prior cycles back to 2015.</t>
  </si>
  <si>
    <t>Eagleswood Township Board of Education</t>
  </si>
  <si>
    <t>Island Heights School District</t>
  </si>
  <si>
    <t>Lacey Township School District</t>
  </si>
  <si>
    <t>Lavallette Board of Education</t>
  </si>
  <si>
    <t>Long Beach Island Consolidated School District</t>
  </si>
  <si>
    <t>N/A – No FSMC. District self-manages food service (AI reviewed response). No further action needed.</t>
  </si>
  <si>
    <t>Ocean Gate School District</t>
  </si>
  <si>
    <t>Partial – 2019 Only. Follow-up sent 2026-04-17 to Kevin O'Shea, requesting prior cycles back to 2015.</t>
  </si>
  <si>
    <t>Seaside Heights School District</t>
  </si>
  <si>
    <t>N/A – SFA-to-SFA. Uses another school district as food provider (AI reviewed response). No further action needed.</t>
  </si>
  <si>
    <t>Tuckerton School District</t>
  </si>
  <si>
    <t>File Path</t>
  </si>
  <si>
    <t>Link</t>
  </si>
  <si>
    <t>Form / Title</t>
  </si>
  <si>
    <t>File Type</t>
  </si>
  <si>
    <t>Doc Type</t>
  </si>
  <si>
    <t>Description</t>
  </si>
  <si>
    <t>Source</t>
  </si>
  <si>
    <t>Review Status</t>
  </si>
  <si>
    <t>Notes</t>
  </si>
  <si>
    <t>State</t>
  </si>
  <si>
    <t>AI Summary</t>
  </si>
  <si>
    <t>/Users/andrewswenson/Documents/Research/School Lunches/NJ Files/Form 17CR - Cost Reimbursable RFP Contract SY26-27 12-2025.pdf</t>
  </si>
  <si>
    <t>Form 17CR</t>
  </si>
  <si>
    <t>PDF</t>
  </si>
  <si>
    <t>RFP</t>
  </si>
  <si>
    <t>NJDA-mandated standard Request for Proposal (RFP) and contract template for School Food Authorities (SFAs) procuring a Food Service Management Company (FSMC) on a Cost Reimbursable basis. Covers procurement procedures, award criteria, all standard terms and conditions (USDA donated foods, Buy American, civil rights, etc.), and required contract provisions for SY2026-27. Revised October 2025.</t>
  </si>
  <si>
    <t>NJ Contracts team</t>
  </si>
  <si>
    <t xml:space="preserve">Done, </t>
  </si>
  <si>
    <t>1. On page 14 theres specific food item qualities listed, and they also say that districts can change these qualities if needed, so could be cool to see this part
2. They specify cost reimbursable contacts, could think about that 
3.Could think about fesability of geographical prefrences in food sourcing and what that does here
4.There could be some heterogenity in whether equitment is pruchased, see if contract renwewl depends on equitment or if we see some holdup costs here
5. Specific the 1 + 4 contract terms, could use heterogentiy here
6. Terms of early termination beyodn equitment amortiation are pretty favorabel to the schools (16)</t>
  </si>
  <si>
    <t>NJ</t>
  </si>
  <si>
    <t>NJ state-mandated cost reimbursable RFP/contract template for FSMC procurement (SY26-27). Key terms: food quality specs, 1+4 year contract, early termination, equipment amortization.</t>
  </si>
  <si>
    <t>/Users/andrewswenson/Documents/Research/School Lunches/NJ Files/Form 23CR Public_SY26-27_3.4.2026.xlsx</t>
  </si>
  <si>
    <t>Form 23CR (Public)</t>
  </si>
  <si>
    <t>XLSX</t>
  </si>
  <si>
    <t>Bid</t>
  </si>
  <si>
    <t>Multi-sheet Excel workbook containing the Cost Reimbursable Response and Projected Operating Statement forms that FSMCs complete as part of their proposal submission. Includes projected revenue (cash sales), hourly labor (pg. 6), salaried labor (pg. 7), SFSP labor (pg. 8), equipment costs (pg. 9), and summary financial numbers (Form 24CR, pg. 10). Used for SY2026-27 procurement; updated March 4, 2026.</t>
  </si>
  <si>
    <t xml:space="preserve">Doneish </t>
  </si>
  <si>
    <t>Costing sheet, not super relevant right now</t>
  </si>
  <si>
    <t>NJ FSMC bid response workbook (SY26-27): projected revenues, labor (hourly/salaried/SFSP), equipment costs, and summary financials. Companion to Form 17CR.</t>
  </si>
  <si>
    <t>/Users/andrewswenson/Documents/Research/School Lunches/NJ Files/Form 320A - RFP Scoring Criteria and Evaluation Instructions SY26-27.pdf</t>
  </si>
  <si>
    <t>Form 320A</t>
  </si>
  <si>
    <t>Scoring Sheet</t>
  </si>
  <si>
    <t>NJDA scoring criteria and evaluation instruction guide for SFAs evaluating FSMC proposals. Provides sample criteria (Total Cost, Guaranteed Return, experience, staffing, menus, etc.), weighting guidance, and required procedures for selecting an FSMC. Criterion #1 (Total Cost) is mandatory for all SFAs. Revised December 2025 for SY2026-27.</t>
  </si>
  <si>
    <t>Done</t>
  </si>
  <si>
    <t>1. Theres a very specific and restictive scoring system with costs, cost ranking gets distributed based on rank and nothing else</t>
  </si>
  <si>
    <t>NJ scoring criteria &amp; evaluation guide for FSMC proposals (SY26-27). 13 criteria; Total Cost mandatory highest weight; 1–5 point scale with weighting factors.</t>
  </si>
  <si>
    <t>/Users/andrewswenson/Documents/Research/School Lunches/NJ Files/Form 320B - FSMC RFP Scoring and Evaluation Tool SY26-27.xlsx</t>
  </si>
  <si>
    <t>Form 320B</t>
  </si>
  <si>
    <t>Excel-based scoring and evaluation tool for SFAs comparing FSMC proposals. Contains example scoring and totals sheets plus individual evaluator sheets (up to 4 evaluators) and an aggregated Totals tab. Each evaluator scores FSMCs on weighted criteria (1–5 scale); the Totals sheet computes overall weighted scores for side-by-side comparison. For SY2026-27.</t>
  </si>
  <si>
    <t>Example scoring rubric</t>
  </si>
  <si>
    <t>NJ Excel scoring tool for FSMC RFP evaluation (SY26-27). Up to 4 evaluators, weighted criteria (1–5 scale), Totals tab aggregates scores for side-by-side FSMC comparison.</t>
  </si>
  <si>
    <t>/Users/andrewswenson/Documents/Research/School Lunches/NJ Files/SY2025-2026 FSMC Contracts List (5).pdf</t>
  </si>
  <si>
    <t>SY2025-2026 FSMC Contracts List</t>
  </si>
  <si>
    <t>Contracts List</t>
  </si>
  <si>
    <t>Comprehensive list of all NJ School Food Authorities (400+) holding active FSMC contracts for SY2025-2026. Columns include SFA name, county, contract number, contract year, FSMC name, contract type (Cost Reimbursable), management fee/flat fee per meal, guarantee amount, total contract cost, and contract start/end dates (July 1 2025 – June 30 2026). Provided by the NJ Contracts team as referenced in their email response.</t>
  </si>
  <si>
    <t>List of distrcts with contracts</t>
  </si>
  <si>
    <t>Full list of 400+ NJ SFAs with active FSMC contracts for SY2025-26: district, county, agreement #, FSMC, contract type, fee/meal, guarantee, total cost, and dates.</t>
  </si>
  <si>
    <t>https://cdn.ymaws.com/www.njasbo.com/resource/resmgr/2022-2023_items/professional_development/march_2023/lunch_&amp;_learn_3-30-23/form_320a_-_rfp_scoring_crit.pdf</t>
  </si>
  <si>
    <t>NJASBO Form 320A – RFP Scoring Criteria &amp; Evaluation Instruction Form (Sample). Three-page guidance document for SFAs evaluating FSMC proposals. Lists 13 scored criteria including Total Cost (must receive highest weighting), Guaranteed Return, Food Quality, Staffing, Menu variety, and others. Includes a sample scoring rubric using a 1–5 point scale with weighting factors. Published January 2023; presented at NJASBO Lunch &amp; Learn, March 2023.</t>
  </si>
  <si>
    <t>NJASBO (public resource)</t>
  </si>
  <si>
    <t>Cost criteria chart is labeled "FOR ILLUSTRATION PURPOSES ONLY" and uses "sample criteria" language throughout — scoring rubric (5,4,3,2,1 scale) is explicitly presented as an example, not a required format, suggesting the 1–5 point structure was suggested rather than mandated.</t>
  </si>
  <si>
    <t>NJASBO sample Form 320A (Jan 2023): 13 FSMC evaluation criteria including Total Cost, Guaranteed Return, Food Quality, Staffing, and Menu. Scoring rubric is illustrative only.</t>
  </si>
  <si>
    <t>/Users/andrewswenson/Documents/Research/School Lunches/Michigan Files/MDE Contracts History FSMC 2013-2019  8-27-18 ts.xlsx</t>
  </si>
  <si>
    <t>MDE FSMC Contracts History 2013–2019</t>
  </si>
  <si>
    <t>Michigan Department of Education list of all school districts holding FSMC contracts, covering SY2013-14 through SY2018-19 (6 tabs, one per year). Columns: district number, district name, FSMC company name, and school year contract was approved. Approximately 240–258 Michigan districts per year.</t>
  </si>
  <si>
    <t>MDE (via Tammy, MDE-FSMC-Vended)</t>
  </si>
  <si>
    <t>Historical contract list going back to 2013; MDE only required to retain records 5 years so 2013-2019 data was found incidentally. Useful for longitudinal FSMC market share analysis.</t>
  </si>
  <si>
    <t>MI</t>
  </si>
  <si>
    <t>MI MDE historical FSMC contract list, SY2013-14 through SY2018-19 (6 tabs). ~240–258 districts per year; useful for longitudinal FSMC market share analysis.</t>
  </si>
  <si>
    <t>/Users/andrewswenson/Documents/Research/School Lunches/Michigan Files/Bid point calc complete.xlsx</t>
  </si>
  <si>
    <t>Bid Point Calculator – Rochester Community Schools (SY25-26)</t>
  </si>
  <si>
    <t>Completed Michigan MDE Bid Point Calculator and Evaluation Criteria Matrix for Rochester Community Schools. Four bidders: Chartwells, Whitsons, SFE, Aramark. 100-point system: 51 points for price (lowest bid formula), 49 points for non-price criteria including manager candidate, employee training, references, budget integrity, menu, and technology. Chartwells submitted lowest bid (~$5.86M) and won.</t>
  </si>
  <si>
    <t>Sample completed bid point calculator from SY25-26. Key data point: non-price criteria is NOT standardized across districts per Tammy's note.</t>
  </si>
  <si>
    <t>MI completed bid point calculator for Rochester Community Schools (SY25-26). 4 bidders; Chartwells won lowest bid (~$5.86M). 51 pts price / 49 pts non-price criteria.</t>
  </si>
  <si>
    <t>/Users/andrewswenson/Documents/Research/School Lunches/Michigan Files/Bid point calc - Avondale.xlsx</t>
  </si>
  <si>
    <t>Bid Point Calculator – Avondale School District (SY25-26)</t>
  </si>
  <si>
    <t>Completed Michigan MDE Bid Point Calculator and Evaluation Criteria Matrix for Avondale School District. Same 100-point template as Rochester but with different non-price criteria weighting, illustrating district-level variation in scoring structure.</t>
  </si>
  <si>
    <t>Second sample bid point calculator from SY25-26. Confirms Tammy's note that non-price criteria vary by district — useful comparison case against Rochester.</t>
  </si>
  <si>
    <t>MI completed bid point calculator for Avondale School District (SY25-26). Same 100-pt template as Rochester; different non-price weighting illustrates district-level variation.</t>
  </si>
  <si>
    <t>/Users/andrewswenson/Documents/Research/School Lunches/Michigan Files/5 Info Section Prototype FSMC Cost Reimbursable SY 26-27.xlsx</t>
  </si>
  <si>
    <t>MDE Info Section Prototype – FSMC Cost Reimbursable SY26-27</t>
  </si>
  <si>
    <t>Michigan MDE prototype Information Section workbook for Cost Reimbursable FSMC RFPs, SY2026-27. 17-tab workbook covering: directions, required attachments, food specs, sample non-price criteria, sample and active bid point calculators, equipment list, vended contract agreements, sites/programs, USDA foods, labor/fringe projections, revenue/cost projections, and bid sheets (with and without advance payment).</t>
  </si>
  <si>
    <t>Michigan equivalent of NJ Form 23CR. Contains "Sample Non-Price Criteria" and "Sample Bid Point Calculator" tabs — Michigan also frames these as samples.</t>
  </si>
  <si>
    <t>MI MDE cost reimbursable FSMC RFP prototype (SY26-27). 17 tabs: directions, food specs, sample non-price criteria, bid point calculator, equipment list, labor/revenue projections.</t>
  </si>
  <si>
    <t>/Users/andrewswenson/Documents/Research/School Lunches/Michigan Files/5 Info Section Prototype FSMC Fixed Price SY 26-27.xlsx</t>
  </si>
  <si>
    <t>MDE Info Section Prototype – FSMC Fixed Price SY26-27</t>
  </si>
  <si>
    <t>Michigan MDE prototype Information Section workbook for Fixed Price FSMC RFPs, SY2026-27. 16-tab workbook, same structure as Cost Reimbursable version but tailored for fixed price contracts. Includes sample bid point calculator and non-price criteria tabs.</t>
  </si>
  <si>
    <t>Fixed price equivalent of the CR info section prototype. Useful for comparing how Michigan structures CR vs FP procurement.</t>
  </si>
  <si>
    <t>MI MDE fixed price FSMC RFP prototype (SY26-27). 16 tabs, same structure as CR version. Sample bid point calculator and non-price criteria for fixed price procurement.</t>
  </si>
  <si>
    <t>/Users/andrewswenson/Documents/Research/School Lunches/Michigan Files/4 Contract Prototype FSMC Cost Reimbursable SY 26-27.docx</t>
  </si>
  <si>
    <t>MDE Contract Prototype – FSMC Cost Reimbursable SY26-27</t>
  </si>
  <si>
    <t>DOCX</t>
  </si>
  <si>
    <t>Contract</t>
  </si>
  <si>
    <t>Michigan MDE prototype contract document for Cost Reimbursable FSMC agreements, SY2026-27. Full contract template with standard terms, federal compliance clauses, and cost reimbursable payment structure provisions.</t>
  </si>
  <si>
    <t>Michigan equivalent of NJ Form 17CR. Compare contract structure and terms across states.</t>
  </si>
  <si>
    <t>MI MDE cost reimbursable FSMC contract prototype (SY26-27). Full template with federal compliance clauses and cost reimbursable payment provisions.</t>
  </si>
  <si>
    <t>/Users/andrewswenson/Documents/Research/School Lunches/Michigan Files/4 Contract Prototype FSMC Fixed Price SY 26-27.docx</t>
  </si>
  <si>
    <t>MDE Contract Prototype – FSMC Fixed Price SY26-27</t>
  </si>
  <si>
    <t>Michigan MDE prototype contract document for Fixed Price FSMC agreements, SY2026-27. Full contract template for fixed price per meal structures.</t>
  </si>
  <si>
    <t>Michigan fixed price contract prototype. Compare with NJ fixed price contract structure.</t>
  </si>
  <si>
    <t>MI MDE fixed price FSMC contract prototype (SY26-27). Full template for fixed price per meal FSMC agreements.</t>
  </si>
  <si>
    <t>/Users/andrewswenson/Documents/Research/School Lunches/NJ Files/OPRA Responses/Ocean Gate School District/RFP Notification of Award 06.19.19.docx</t>
  </si>
  <si>
    <t>RFP Notification of Award – Ocean Gate (2019)</t>
  </si>
  <si>
    <t>Notification letter awarding the 2019 FSMC contract to the winning bidder. Single-year (SY2019) only — no earlier cycles provided.</t>
  </si>
  <si>
    <t>Ocean Gate SD via OPRAMachine</t>
  </si>
  <si>
    <t>AI Reviewed</t>
  </si>
  <si>
    <t>SY2019 only | Missing: bids from other FSMCs, scoring sheets, contracts for prior years</t>
  </si>
  <si>
    <t>NJ – Ocean Gate SD: Notification of award for 2019 FSMC RFP. Partial response — one year only, no bid docs or scoring sheets.</t>
  </si>
  <si>
    <t>/Users/andrewswenson/Documents/Research/School Lunches/NJ Files/OPRA Responses/Ocean Gate School District/Form 17CR FSMC Cost Reimbursable RFP and Contract 05.31.2019.pdf</t>
  </si>
  <si>
    <t>Form 17CR FSMC Cost Reimbursable RFP &amp; Contract – Ocean Gate (2019)</t>
  </si>
  <si>
    <t>The NJ-standard Form 17CR RFP and contract document for Ocean Gate's 2019 FSMC procurement. Agreement #02903800, contract Sept 2019–June 2020. Download pending from OPRAMachine.</t>
  </si>
  <si>
    <t>SY2019 only | Link is OPRAMachine authenticated URL</t>
  </si>
  <si>
    <t>NJ – Ocean Gate SD: 2019 Form 17CR RFP/contract (CR). Only one year provided. No historical cycles, no competing bids or scoring sheets.</t>
  </si>
  <si>
    <t>/Users/andrewswenson/Documents/Research/School Lunches/NJ Files/OPRA Responses/Central Regional School District/Central Regional Food Service RFP 2014.pdf</t>
  </si>
  <si>
    <t>Food Service RFP – Central Regional (2014)</t>
  </si>
  <si>
    <t>The RFP document from Central Regional's most recent FSMC procurement (2014). District confirms this is the only RFP on file and they no longer have the actual bid documents submitted by FSMCs.</t>
  </si>
  <si>
    <t>Central Regional SD via OPRAMachine</t>
  </si>
  <si>
    <t>SY2014 only | Bid docs explicitly lost/not retained</t>
  </si>
  <si>
    <t>NJ – Central Regional SD: 2014 FSMC RFP. Partial — only one procurement cycle, bid documents no longer available.</t>
  </si>
  <si>
    <t>/Users/andrewswenson/Documents/Research/School Lunches/NJ Files/OPRA Responses/Central Regional School District/Food Service Bid analysis.pdf</t>
  </si>
  <si>
    <t>Food Service Bid Analysis – Central Regional (2014)</t>
  </si>
  <si>
    <t>Bid analysis document from Central Regional's 2014 FSMC procurement. Likely contains bid comparison/scoring summary. Download pending from OPRAMachine.</t>
  </si>
  <si>
    <t>SY2014 only | Link is OPRAMachine authenticated URL</t>
  </si>
  <si>
    <t>NJ – Central Regional SD: 2014 bid analysis. Only scoring summary available; individual bid documents no longer retained.</t>
  </si>
  <si>
    <t>/Users/andrewswenson/Documents/Research/School Lunches/NJ Files/OPRA Responses/Berkeley Township School District/Form 320B FSMC RFP Scoring and Evaluation Tool SY25-56.xlsx</t>
  </si>
  <si>
    <t>Form 320B Scoring Tool – Berkeley Township (SY25-26)</t>
  </si>
  <si>
    <t>Completed Form 320B scoring and evaluation tool for Berkeley Township's SY2025-26 FSMC procurement. Shows evaluator scores per criterion for competing FSMCs. Most recent year only — no historical cycles provided.</t>
  </si>
  <si>
    <t>Berkeley Township SD via OPRAMachine</t>
  </si>
  <si>
    <t>SY25-26 only | No historical records provided | Download pending</t>
  </si>
  <si>
    <t>NJ – Berkeley Township SD: SY25-26 completed scoring tool (Form 320B). INCOMPLETE — only current year, no prior cycle bids or RFPs.</t>
  </si>
  <si>
    <t>/Users/andrewswenson/Documents/Research/School Lunches/NJ Files/OPRA Responses/Berkeley Township School District/FSMC FP CR RFP 2026 DE 9598833.pdf</t>
  </si>
  <si>
    <t>FSMC FP/CR RFP 2026 – Berkeley Township (SY25-26)</t>
  </si>
  <si>
    <t>The RFP document for Berkeley Township's SY2025-26 FSMC procurement (DE #9598833). Most recent year only. Download pending from OPRAMachine.</t>
  </si>
  <si>
    <t>SY25-26 only | No historical RFPs provided | Download pending</t>
  </si>
  <si>
    <t>NJ – Berkeley Township SD: SY25-26 RFP only. Missing all historical procurement cycles.</t>
  </si>
  <si>
    <t>/Users/andrewswenson/Documents/Research/School Lunches/NJ Files/OPRA Responses/Berkeley Township School District/Form 24FP SY25-26 Completed.xlsx</t>
  </si>
  <si>
    <t>Form 24FP Completed – Berkeley Township (SY25-26)</t>
  </si>
  <si>
    <t>Completed Form 24FP (Fixed Price bid response/operating statement) for Berkeley Township's SY2025-26 FSMC procurement. Download pending from OPRAMachine.</t>
  </si>
  <si>
    <t>SY25-26 only | Download pending</t>
  </si>
  <si>
    <t>NJ – Berkeley Township SD: SY25-26 completed fixed price bid form. One year only.</t>
  </si>
  <si>
    <t>/Users/andrewswenson/Documents/Research/School Lunches/NJ Files/OPRA Responses/Seaside Heights School District/SFASFA PreApproved Contract 2026.pdf</t>
  </si>
  <si>
    <t>SFA-to-SFA Pre-Approved Contract 2026 – Seaside Heights</t>
  </si>
  <si>
    <t>Seaside Heights uses an SFA-to-SFA agreement (not an FSMC). No competitive bidding records exist. This is the current SFA-SFA contract, not an FSMC procurement document.</t>
  </si>
  <si>
    <t>Seaside Heights SD via OPRAMachine</t>
  </si>
  <si>
    <t>SFA-to-SFA district — no FSMC/RFP records exist | Download pending</t>
  </si>
  <si>
    <t>NJ – Seaside Heights SD: NOT an FSMC district. Uses SFA-to-SFA arrangement. No bid/RFP records exist.</t>
  </si>
  <si>
    <t>../CLAUDE.md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</si>
</sst>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
    <numFmt numFmtId="166" formatCode="yyyy\-mm\-dd"/>
  </numFmts>
  <fonts count="24" x14ac:knownFonts="1">
    <font>
      <sz val="11"/>
      <color theme="1"/>
      <name val="Calibri"/>
      <family val="2"/>
      <charset val="1"/>
    </font>
    <font>
      <b/>
      <sz val="11"/>
      <color rgb="FFFFFFFF"/>
      <name val="Arial"/>
      <family val="2"/>
      <charset val="1"/>
    </font>
    <font>
      <b/>
      <sz val="11"/>
      <color rgb="FFFFFFFF"/>
      <name val="Arial"/>
      <family val="2"/>
    </font>
    <font>
      <b/>
      <sz val="10"/>
      <color rgb="FFFFFFFF"/>
      <name val="Arial"/>
      <family val="2"/>
      <charset val="1"/>
    </font>
    <font>
      <b/>
      <sz val="11"/>
      <color rgb="FFFFFFFF"/>
      <name val="Calibri"/>
      <family val="2"/>
    </font>
    <font>
      <u/>
      <sz val="9"/>
      <color rgb="FF0563C1"/>
      <name val="Courier New"/>
      <family val="1"/>
      <charset val="1"/>
    </font>
    <font>
      <u/>
      <sz val="11"/>
      <color theme="10"/>
      <name val="Calibri"/>
      <family val="2"/>
      <charset val="1"/>
    </font>
    <font>
      <sz val="10"/>
      <name val="Arial"/>
      <family val="2"/>
      <charset val="1"/>
    </font>
    <font>
      <sz val="11"/>
      <color rgb="FF000000"/>
      <name val="Arial"/>
      <family val="2"/>
    </font>
    <font>
      <b/>
      <sz val="10"/>
      <color rgb="FF1F4E79"/>
      <name val="Arial"/>
      <family val="2"/>
      <charset val="1"/>
    </font>
    <font>
      <sz val="10"/>
      <name val="Calibri"/>
      <family val="2"/>
    </font>
    <font>
      <sz val="9"/>
      <name val="Courier New"/>
      <family val="1"/>
      <charset val="1"/>
    </font>
    <font>
      <u/>
      <sz val="11"/>
      <color rgb="FF0563C1"/>
      <name val="Calibri"/>
      <family val="2"/>
      <charset val="1"/>
    </font>
    <font>
      <b/>
      <sz val="10"/>
      <name val="Arial"/>
      <family val="2"/>
      <charset val="1"/>
    </font>
    <font>
      <sz val="10"/>
      <color rgb="FF0000FF"/>
      <name val="Calibri"/>
      <family val="2"/>
    </font>
    <font>
      <sz val="10"/>
      <color rgb="FF000000"/>
      <name val="Calibri"/>
      <family val="2"/>
    </font>
    <font>
      <b/>
      <sz val="9"/>
      <color rgb="FFFFFFFF"/>
      <name val="Arial"/>
      <family val="2"/>
      <charset val="1"/>
    </font>
    <font>
      <sz val="9"/>
      <color rgb="FF000000"/>
      <name val="Arial"/>
      <family val="2"/>
      <charset val="1"/>
    </font>
    <font>
      <b/>
      <sz val="9"/>
      <color rgb="FF000000"/>
      <name val="Arial"/>
      <family val="2"/>
      <charset val="1"/>
    </font>
    <font>
      <b/>
      <u/>
      <sz val="9"/>
      <color rgb="FF0563C1"/>
      <name val="Arial"/>
      <family val="2"/>
      <charset val="1"/>
    </font>
    <font>
      <sz val="9"/>
      <color rgb="FF595959"/>
      <name val="Arial"/>
      <family val="2"/>
      <charset val="1"/>
    </font>
    <font>
      <sz val="11"/>
      <color rgb="FF0563C1"/>
      <name val="Arial"/>
      <family val="2"/>
    </font>
    <font>
      <i/>
      <sz val="9"/>
      <color rgb="FFC00000"/>
      <name val="Arial"/>
      <family val="2"/>
      <charset val="1"/>
    </font>
    <font>
      <sz val="11"/>
      <color rgb="FF000000"/>
      <name val="Arial"/>
      <family val="2"/>
    </font>
  </fonts>
  <fills count="7">
    <fill>
      <patternFill patternType="none"/>
    </fill>
    <fill>
      <patternFill patternType="gray125"/>
    </fill>
    <fill>
      <patternFill patternType="solid">
        <fgColor rgb="FF1F4E79"/>
        <bgColor rgb="FF003366"/>
      </patternFill>
    </fill>
    <fill>
      <patternFill patternType="solid">
        <fgColor rgb="FFFFFFFF"/>
        <bgColor rgb="FFF2F7FC"/>
      </patternFill>
    </fill>
    <fill>
      <patternFill patternType="solid">
        <fgColor rgb="FFF2F7FC"/>
        <bgColor rgb="FFF2F2F2"/>
      </patternFill>
    </fill>
    <fill>
      <patternFill patternType="solid">
        <fgColor rgb="FFDCE6F1"/>
        <bgColor rgb="FFF2F2F2"/>
      </patternFill>
    </fill>
    <fill>
      <patternFill patternType="solid">
        <fgColor rgb="FFF2F2F2"/>
        <bgColor rgb="FFF2F7FC"/>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2">
    <xf numFmtId="0" fontId="0" fillId="0" borderId="0"/>
    <xf numFmtId="0" fontId="6" fillId="0" borderId="0" applyNumberFormat="0" applyFill="0" applyBorder="0" applyAlignment="0" applyProtection="0"/>
  </cellStyleXfs>
  <cellXfs count="70">
    <xf numFmtId="0" fontId="0" fillId="0" borderId="0" xfId="0"/>
    <xf numFmtId="0" fontId="1" fillId="2" borderId="1" xfId="0" applyFont="1" applyFill="1" applyBorder="1" applyAlignment="1">
      <alignment horizontal="center" vertical="center" wrapText="1"/>
    </xf>
    <xf numFmtId="0" fontId="2" fillId="2" borderId="0" xfId="0" applyFont="1" applyFill="1" applyAlignment="1">
      <alignment horizontal="center" vertical="center"/>
    </xf>
    <xf numFmtId="0" fontId="1" fillId="2" borderId="2" xfId="0" applyFont="1" applyFill="1" applyBorder="1" applyAlignment="1">
      <alignment horizontal="center" vertical="center" wrapText="1"/>
    </xf>
    <xf numFmtId="0" fontId="3" fillId="2" borderId="0" xfId="0" applyFont="1" applyFill="1" applyAlignment="1">
      <alignment horizontal="center" vertical="center"/>
    </xf>
    <xf numFmtId="0" fontId="4" fillId="2" borderId="0" xfId="0" applyFont="1" applyFill="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7" fillId="3" borderId="1" xfId="0" applyFont="1" applyFill="1" applyBorder="1" applyAlignment="1">
      <alignment vertical="top" wrapText="1"/>
    </xf>
    <xf numFmtId="0" fontId="8" fillId="3" borderId="0" xfId="0" applyFont="1" applyFill="1"/>
    <xf numFmtId="0" fontId="9" fillId="3" borderId="1" xfId="0" applyFont="1" applyFill="1" applyBorder="1" applyAlignment="1">
      <alignment vertical="top" wrapText="1"/>
    </xf>
    <xf numFmtId="0" fontId="7" fillId="3" borderId="2" xfId="0" applyFont="1" applyFill="1" applyBorder="1" applyAlignment="1">
      <alignment vertical="top" wrapText="1"/>
    </xf>
    <xf numFmtId="0" fontId="7" fillId="3" borderId="0" xfId="0" applyFont="1" applyFill="1" applyAlignment="1">
      <alignment horizontal="center" vertical="top"/>
    </xf>
    <xf numFmtId="0" fontId="10" fillId="0" borderId="0" xfId="0" applyFont="1" applyAlignment="1">
      <alignment vertical="top" wrapText="1"/>
    </xf>
    <xf numFmtId="0" fontId="5" fillId="4" borderId="1" xfId="0" applyFont="1" applyFill="1" applyBorder="1" applyAlignment="1">
      <alignment vertical="top" wrapText="1"/>
    </xf>
    <xf numFmtId="0" fontId="7" fillId="4" borderId="1" xfId="0" applyFont="1" applyFill="1" applyBorder="1" applyAlignment="1">
      <alignment vertical="top" wrapText="1"/>
    </xf>
    <xf numFmtId="0" fontId="8" fillId="4" borderId="0" xfId="0" applyFont="1" applyFill="1"/>
    <xf numFmtId="0" fontId="9" fillId="4" borderId="1" xfId="0" applyFont="1" applyFill="1" applyBorder="1" applyAlignment="1">
      <alignment vertical="top" wrapText="1"/>
    </xf>
    <xf numFmtId="0" fontId="7" fillId="4" borderId="2" xfId="0" applyFont="1" applyFill="1" applyBorder="1" applyAlignment="1">
      <alignment vertical="top" wrapText="1"/>
    </xf>
    <xf numFmtId="0" fontId="7" fillId="4" borderId="3" xfId="0" applyFont="1" applyFill="1" applyBorder="1" applyAlignment="1">
      <alignment vertical="top" wrapText="1"/>
    </xf>
    <xf numFmtId="0" fontId="7" fillId="4" borderId="0" xfId="0" applyFont="1" applyFill="1" applyAlignment="1">
      <alignment horizontal="center" vertical="top"/>
    </xf>
    <xf numFmtId="0" fontId="7" fillId="3" borderId="3" xfId="0" applyFont="1" applyFill="1" applyBorder="1" applyAlignment="1">
      <alignment vertical="top" wrapText="1"/>
    </xf>
    <xf numFmtId="0" fontId="11" fillId="3" borderId="0" xfId="0" applyFont="1" applyFill="1" applyAlignment="1">
      <alignment vertical="top" wrapText="1"/>
    </xf>
    <xf numFmtId="0" fontId="12" fillId="3" borderId="0" xfId="0" applyFont="1" applyFill="1" applyAlignment="1">
      <alignment vertical="top" wrapText="1"/>
    </xf>
    <xf numFmtId="0" fontId="7" fillId="3" borderId="0" xfId="0" applyFont="1" applyFill="1" applyAlignment="1">
      <alignment vertical="top" wrapText="1"/>
    </xf>
    <xf numFmtId="0" fontId="13" fillId="3" borderId="0" xfId="0" applyFont="1" applyFill="1" applyAlignment="1">
      <alignment vertical="top" wrapText="1"/>
    </xf>
    <xf numFmtId="0" fontId="11" fillId="4" borderId="0" xfId="0" applyFont="1" applyFill="1" applyAlignment="1">
      <alignment vertical="top" wrapText="1"/>
    </xf>
    <xf numFmtId="0" fontId="12" fillId="4" borderId="0" xfId="0" applyFont="1" applyFill="1" applyAlignment="1">
      <alignment vertical="top" wrapText="1"/>
    </xf>
    <xf numFmtId="0" fontId="7" fillId="4" borderId="0" xfId="0" applyFont="1" applyFill="1" applyAlignment="1">
      <alignment vertical="top" wrapText="1"/>
    </xf>
    <xf numFmtId="0" fontId="13" fillId="4" borderId="0" xfId="0" applyFont="1" applyFill="1" applyAlignment="1">
      <alignment vertical="top" wrapText="1"/>
    </xf>
    <xf numFmtId="0" fontId="14" fillId="5" borderId="0" xfId="0" applyFont="1" applyFill="1" applyAlignment="1">
      <alignment vertical="top" wrapText="1"/>
    </xf>
    <xf numFmtId="0" fontId="15" fillId="5" borderId="0" xfId="0" applyFont="1" applyFill="1" applyAlignment="1">
      <alignment vertical="top" wrapText="1"/>
    </xf>
    <xf numFmtId="0" fontId="8" fillId="5" borderId="0" xfId="0" applyFont="1" applyFill="1"/>
    <xf numFmtId="0" fontId="14" fillId="3" borderId="0" xfId="0" applyFont="1" applyFill="1" applyAlignment="1">
      <alignment vertical="top" wrapText="1"/>
    </xf>
    <xf numFmtId="0" fontId="15" fillId="3" borderId="0" xfId="0" applyFont="1" applyFill="1" applyAlignment="1">
      <alignment vertical="top" wrapText="1"/>
    </xf>
    <xf numFmtId="0" fontId="3"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16" fillId="2" borderId="1" xfId="0" applyFont="1" applyFill="1" applyBorder="1" applyAlignment="1">
      <alignment horizontal="right" vertical="center"/>
    </xf>
    <xf numFmtId="0" fontId="3" fillId="2" borderId="0" xfId="0" applyFont="1" applyFill="1" applyAlignment="1">
      <alignment horizontal="center" vertical="center" wrapText="1"/>
    </xf>
    <xf numFmtId="0" fontId="17" fillId="4" borderId="1" xfId="0" applyFont="1" applyFill="1" applyBorder="1" applyAlignment="1">
      <alignment horizontal="center" vertical="center"/>
    </xf>
    <xf numFmtId="0" fontId="18" fillId="4" borderId="1" xfId="0" applyFont="1" applyFill="1" applyBorder="1" applyAlignment="1">
      <alignment horizontal="left" vertical="center"/>
    </xf>
    <xf numFmtId="0" fontId="17" fillId="4" borderId="1" xfId="0" applyFont="1" applyFill="1" applyBorder="1" applyAlignment="1">
      <alignment horizontal="left" vertical="center"/>
    </xf>
    <xf numFmtId="0" fontId="19" fillId="4" borderId="1" xfId="0" applyFont="1" applyFill="1" applyBorder="1" applyAlignment="1">
      <alignment horizontal="center" vertical="center"/>
    </xf>
    <xf numFmtId="0" fontId="20" fillId="6" borderId="1" xfId="0" applyFont="1" applyFill="1" applyBorder="1" applyAlignment="1">
      <alignment horizontal="center" vertical="center"/>
    </xf>
    <xf numFmtId="164" fontId="17" fillId="4" borderId="1" xfId="0" applyNumberFormat="1" applyFont="1" applyFill="1" applyBorder="1" applyAlignment="1">
      <alignment horizontal="center" vertical="center"/>
    </xf>
    <xf numFmtId="0" fontId="17" fillId="4" borderId="1" xfId="0" applyFont="1" applyFill="1" applyBorder="1" applyAlignment="1">
      <alignment horizontal="left" vertical="center" wrapText="1"/>
    </xf>
    <xf numFmtId="165" fontId="7" fillId="4" borderId="0" xfId="0" applyNumberFormat="1" applyFont="1" applyFill="1" applyAlignment="1">
      <alignment horizontal="right" vertical="center"/>
    </xf>
    <xf numFmtId="0" fontId="17" fillId="3" borderId="1" xfId="0" applyFont="1" applyFill="1" applyBorder="1" applyAlignment="1">
      <alignment horizontal="center" vertical="center"/>
    </xf>
    <xf numFmtId="0" fontId="18" fillId="3" borderId="1" xfId="0" applyFont="1" applyFill="1" applyBorder="1" applyAlignment="1">
      <alignment horizontal="left" vertical="center"/>
    </xf>
    <xf numFmtId="0" fontId="17" fillId="3" borderId="1" xfId="0" applyFont="1" applyFill="1" applyBorder="1" applyAlignment="1">
      <alignment horizontal="left" vertical="center"/>
    </xf>
    <xf numFmtId="0" fontId="21" fillId="3" borderId="1" xfId="0" applyFont="1" applyFill="1" applyBorder="1" applyAlignment="1">
      <alignment horizontal="center" vertical="center"/>
    </xf>
    <xf numFmtId="0" fontId="8" fillId="6" borderId="1" xfId="0" applyFont="1" applyFill="1" applyBorder="1" applyAlignment="1">
      <alignment vertical="top" wrapText="1"/>
    </xf>
    <xf numFmtId="164" fontId="17" fillId="3" borderId="1" xfId="0" applyNumberFormat="1" applyFont="1" applyFill="1" applyBorder="1" applyAlignment="1">
      <alignment horizontal="center" vertical="center"/>
    </xf>
    <xf numFmtId="166" fontId="8" fillId="3" borderId="1" xfId="0" applyNumberFormat="1" applyFont="1" applyFill="1" applyBorder="1" applyAlignment="1">
      <alignment vertical="top" wrapText="1"/>
    </xf>
    <xf numFmtId="0" fontId="8" fillId="0" borderId="0" xfId="0" applyFont="1" applyAlignment="1">
      <alignment vertical="top" wrapText="1"/>
    </xf>
    <xf numFmtId="0" fontId="17" fillId="3" borderId="1" xfId="0" applyFont="1" applyFill="1" applyBorder="1" applyAlignment="1">
      <alignment horizontal="left" vertical="center" wrapText="1"/>
    </xf>
    <xf numFmtId="165" fontId="7" fillId="3" borderId="0" xfId="0" applyNumberFormat="1" applyFont="1" applyFill="1" applyAlignment="1">
      <alignment horizontal="right" vertical="center"/>
    </xf>
    <xf numFmtId="0" fontId="19" fillId="3" borderId="1" xfId="0" applyFont="1" applyFill="1" applyBorder="1" applyAlignment="1">
      <alignment horizontal="center" vertical="center"/>
    </xf>
    <xf numFmtId="0" fontId="22" fillId="4" borderId="1" xfId="0" applyFont="1" applyFill="1" applyBorder="1" applyAlignment="1">
      <alignment horizontal="center" vertical="center"/>
    </xf>
    <xf numFmtId="0" fontId="22" fillId="3" borderId="1" xfId="0" applyFont="1" applyFill="1" applyBorder="1" applyAlignment="1">
      <alignment horizontal="center" vertical="center"/>
    </xf>
    <xf numFmtId="0" fontId="21" fillId="4" borderId="1" xfId="0" applyFont="1" applyFill="1" applyBorder="1" applyAlignment="1">
      <alignment horizontal="center" vertical="center"/>
    </xf>
    <xf numFmtId="166" fontId="8" fillId="4" borderId="1" xfId="0" applyNumberFormat="1" applyFont="1" applyFill="1" applyBorder="1" applyAlignment="1">
      <alignment vertical="top" wrapText="1"/>
    </xf>
    <xf numFmtId="0" fontId="7" fillId="4" borderId="0" xfId="0" applyFont="1" applyFill="1" applyAlignment="1">
      <alignment horizontal="right" vertical="center"/>
    </xf>
    <xf numFmtId="0" fontId="7" fillId="3" borderId="0" xfId="0" applyFont="1" applyFill="1" applyAlignment="1">
      <alignment horizontal="right" vertical="center"/>
    </xf>
    <xf numFmtId="0" fontId="23" fillId="6" borderId="1" xfId="0" applyFont="1" applyFill="1" applyBorder="1" applyAlignment="1">
      <alignment vertical="top" wrapText="1"/>
    </xf>
    <xf numFmtId="0" fontId="23" fillId="0" borderId="0" xfId="0" applyFont="1" applyAlignment="1">
      <alignment vertical="top" wrapText="1"/>
    </xf>
    <xf numFmtId="0" fontId="23" fillId="5" borderId="0" xfId="0" applyFont="1" applyFill="1" applyAlignment="1">
      <alignment vertical="top" wrapText="1"/>
    </xf>
    <xf numFmtId="0" fontId="23" fillId="3" borderId="0" xfId="0" applyFont="1" applyFill="1" applyAlignment="1">
      <alignment vertical="top" wrapText="1"/>
    </xf>
    <xf numFmtId="0" fontId="6" fillId="4" borderId="0" xfId="1" applyFill="1" applyAlignment="1">
      <alignment vertical="top" wrapText="1"/>
    </xf>
    <xf numFmtId="0" fontId="6" fillId="0" borderId="0" xfId="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7FC"/>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NJ%20Files/Form%20320A%20-%20RFP%20Scoring%20Criteria%20and%20Evaluation%20Instructions%20SY26-27.pdf" TargetMode="External"/><Relationship Id="rId2" Type="http://schemas.openxmlformats.org/officeDocument/2006/relationships/hyperlink" Target="NJ%20Files/Form%2023CR%20Public_SY26-27_3.4.2026.xlsx" TargetMode="External"/><Relationship Id="rId1" Type="http://schemas.openxmlformats.org/officeDocument/2006/relationships/hyperlink" Target="NJ%20Files/Form%2017CR%20-%20Cost%20Reimbursable%20RFP%20Contract%20SY26-27%2012-2025.pdf" TargetMode="External"/><Relationship Id="rId6" Type="http://schemas.openxmlformats.org/officeDocument/2006/relationships/hyperlink" Target="../CLAUDE.md" TargetMode="External"/><Relationship Id="rId5" Type="http://schemas.openxmlformats.org/officeDocument/2006/relationships/hyperlink" Target="NJ%20Files/SY2025-2026%20FSMC%20Contracts%20List%20(5).pdf" TargetMode="External"/><Relationship Id="rId4" Type="http://schemas.openxmlformats.org/officeDocument/2006/relationships/hyperlink" Target="NJ%20Files/Form%20320B%20-%20FSMC%20RFP%20Scoring%20and%20Evaluation%20Tool%20SY26-27.xlsx"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opramachine.com/new/bcss" TargetMode="External"/><Relationship Id="rId21" Type="http://schemas.openxmlformats.org/officeDocument/2006/relationships/hyperlink" Target="https://opramachine.com/new/bridgewater_raritan_board_of_education" TargetMode="External"/><Relationship Id="rId42" Type="http://schemas.openxmlformats.org/officeDocument/2006/relationships/hyperlink" Target="https://opramachine.com/new/neptune_township_school_district" TargetMode="External"/><Relationship Id="rId63" Type="http://schemas.openxmlformats.org/officeDocument/2006/relationships/hyperlink" Target="https://opramachine.com/new/beloved_community_charter_school" TargetMode="External"/><Relationship Id="rId84" Type="http://schemas.openxmlformats.org/officeDocument/2006/relationships/hyperlink" Target="https://opramachine.com/new/highland_park_board_of_education" TargetMode="External"/><Relationship Id="rId138" Type="http://schemas.openxmlformats.org/officeDocument/2006/relationships/hyperlink" Target="https://opramachine.com/new/ocean_township_school_district" TargetMode="External"/><Relationship Id="rId159" Type="http://schemas.openxmlformats.org/officeDocument/2006/relationships/hyperlink" Target="https://opramachine.com/new/washington_township_school_district" TargetMode="External"/><Relationship Id="rId170" Type="http://schemas.openxmlformats.org/officeDocument/2006/relationships/hyperlink" Target="https://opramachine.com/new/neptune_city_board_of_education" TargetMode="External"/><Relationship Id="rId107" Type="http://schemas.openxmlformats.org/officeDocument/2006/relationships/hyperlink" Target="https://opramachine.com/new/prospect_park_school_district" TargetMode="External"/><Relationship Id="rId11" Type="http://schemas.openxmlformats.org/officeDocument/2006/relationships/hyperlink" Target="https://opramachine.com/new/hamilton_mercer_board_of_education" TargetMode="External"/><Relationship Id="rId32" Type="http://schemas.openxmlformats.org/officeDocument/2006/relationships/hyperlink" Target="https://opramachine.com/new/north_plainfield_school_district" TargetMode="External"/><Relationship Id="rId53" Type="http://schemas.openxmlformats.org/officeDocument/2006/relationships/hyperlink" Target="https://opramachine.com/new/westwood_regional_school_district" TargetMode="External"/><Relationship Id="rId74" Type="http://schemas.openxmlformats.org/officeDocument/2006/relationships/hyperlink" Target="https://opramachine.com/new/medford_township_school_district" TargetMode="External"/><Relationship Id="rId128" Type="http://schemas.openxmlformats.org/officeDocument/2006/relationships/hyperlink" Target="https://opramachine.com/new/berlin_borough_board_of_education" TargetMode="External"/><Relationship Id="rId149" Type="http://schemas.openxmlformats.org/officeDocument/2006/relationships/hyperlink" Target="https://opramachine.com/new/charter_tech_high_school" TargetMode="External"/><Relationship Id="rId5" Type="http://schemas.openxmlformats.org/officeDocument/2006/relationships/hyperlink" Target="https://opramachine.com/new/plainfield_board_of_education" TargetMode="External"/><Relationship Id="rId95" Type="http://schemas.openxmlformats.org/officeDocument/2006/relationships/hyperlink" Target="https://opramachine.com/new/maria_l_varisco_rogers_charter_school" TargetMode="External"/><Relationship Id="rId160" Type="http://schemas.openxmlformats.org/officeDocument/2006/relationships/hyperlink" Target="https://opramachine.com/new/princeton_charter_school" TargetMode="External"/><Relationship Id="rId181" Type="http://schemas.openxmlformats.org/officeDocument/2006/relationships/hyperlink" Target="https://opramachine.com/new/new_hanover_township_school_district" TargetMode="External"/><Relationship Id="rId22" Type="http://schemas.openxmlformats.org/officeDocument/2006/relationships/hyperlink" Target="https://opramachine.com/new/wayne_board_of_education" TargetMode="External"/><Relationship Id="rId43" Type="http://schemas.openxmlformats.org/officeDocument/2006/relationships/hyperlink" Target="https://opramachine.com/new/howell_township_school_district" TargetMode="External"/><Relationship Id="rId64" Type="http://schemas.openxmlformats.org/officeDocument/2006/relationships/hyperlink" Target="https://opramachine.com/new/ridgefield_park_school_district" TargetMode="External"/><Relationship Id="rId118" Type="http://schemas.openxmlformats.org/officeDocument/2006/relationships/hyperlink" Target="https://opramachine.com/new/deerfield_township_board_of_education" TargetMode="External"/><Relationship Id="rId139" Type="http://schemas.openxmlformats.org/officeDocument/2006/relationships/hyperlink" Target="https://opramachine.com/new/ucesc" TargetMode="External"/><Relationship Id="rId85" Type="http://schemas.openxmlformats.org/officeDocument/2006/relationships/hyperlink" Target="https://opramachine.com/new/little_egg_harbor_school_district" TargetMode="External"/><Relationship Id="rId150" Type="http://schemas.openxmlformats.org/officeDocument/2006/relationships/hyperlink" Target="https://opramachine.com/new/union_county_teams_charter_school" TargetMode="External"/><Relationship Id="rId171" Type="http://schemas.openxmlformats.org/officeDocument/2006/relationships/hyperlink" Target="https://opramachine.com/new/bethlehem_township_school_district" TargetMode="External"/><Relationship Id="rId12" Type="http://schemas.openxmlformats.org/officeDocument/2006/relationships/hyperlink" Target="https://opramachine.com/new/lakewood_board_of_education" TargetMode="External"/><Relationship Id="rId33" Type="http://schemas.openxmlformats.org/officeDocument/2006/relationships/hyperlink" Target="https://opramachine.com/new/englewood_public_school_district" TargetMode="External"/><Relationship Id="rId108" Type="http://schemas.openxmlformats.org/officeDocument/2006/relationships/hyperlink" Target="https://opramachine.com/new/hudson_arts_science_charter_school" TargetMode="External"/><Relationship Id="rId129" Type="http://schemas.openxmlformats.org/officeDocument/2006/relationships/hyperlink" Target="https://opramachine.com/new/link_community_charter_school" TargetMode="External"/><Relationship Id="rId54" Type="http://schemas.openxmlformats.org/officeDocument/2006/relationships/hyperlink" Target="https://opramachine.com/new/ocean_township_school_district" TargetMode="External"/><Relationship Id="rId75" Type="http://schemas.openxmlformats.org/officeDocument/2006/relationships/hyperlink" Target="https://opramachine.com/new/rancocas_valley_regional_high_school_district" TargetMode="External"/><Relationship Id="rId96" Type="http://schemas.openxmlformats.org/officeDocument/2006/relationships/hyperlink" Target="https://opramachine.com/new/boonton_township_public_schools" TargetMode="External"/><Relationship Id="rId140" Type="http://schemas.openxmlformats.org/officeDocument/2006/relationships/hyperlink" Target="https://opramachine.com/new/beverly_city_school" TargetMode="External"/><Relationship Id="rId161" Type="http://schemas.openxmlformats.org/officeDocument/2006/relationships/hyperlink" Target="https://opramachine.com/new/bradley_beach_board_of_education" TargetMode="External"/><Relationship Id="rId182" Type="http://schemas.openxmlformats.org/officeDocument/2006/relationships/hyperlink" Target="https://opramachine.com/new/central_jersey_college_prep_charter_school" TargetMode="External"/><Relationship Id="rId6" Type="http://schemas.openxmlformats.org/officeDocument/2006/relationships/hyperlink" Target="https://opramachine.com/new/new_brunswick_board_of_education" TargetMode="External"/><Relationship Id="rId23" Type="http://schemas.openxmlformats.org/officeDocument/2006/relationships/hyperlink" Target="https://opramachine.com/new/east_brunswick_public_schools" TargetMode="External"/><Relationship Id="rId119" Type="http://schemas.openxmlformats.org/officeDocument/2006/relationships/hyperlink" Target="https://opramachine.com/new/somers_point_school_district" TargetMode="External"/><Relationship Id="rId44" Type="http://schemas.openxmlformats.org/officeDocument/2006/relationships/hyperlink" Target="https://opramachine.com/new/plainfield_board_of_education" TargetMode="External"/><Relationship Id="rId60" Type="http://schemas.openxmlformats.org/officeDocument/2006/relationships/hyperlink" Target="https://opramachine.com/new/marion_thomas_charter_school" TargetMode="External"/><Relationship Id="rId65" Type="http://schemas.openxmlformats.org/officeDocument/2006/relationships/hyperlink" Target="https://opramachine.com/new/freehold_borough_school_district" TargetMode="External"/><Relationship Id="rId81" Type="http://schemas.openxmlformats.org/officeDocument/2006/relationships/hyperlink" Target="https://opramachine.com/new/upper_freehold_regional_school_district" TargetMode="External"/><Relationship Id="rId86" Type="http://schemas.openxmlformats.org/officeDocument/2006/relationships/hyperlink" Target="https://opramachine.com/new/stafford_township_school_district" TargetMode="External"/><Relationship Id="rId130" Type="http://schemas.openxmlformats.org/officeDocument/2006/relationships/hyperlink" Target="https://opramachine.com/new/green_brook_township_public_schools" TargetMode="External"/><Relationship Id="rId135" Type="http://schemas.openxmlformats.org/officeDocument/2006/relationships/hyperlink" Target="https://opramachine.com/new/the_village_charter_school" TargetMode="External"/><Relationship Id="rId151" Type="http://schemas.openxmlformats.org/officeDocument/2006/relationships/hyperlink" Target="https://opramachine.com/new/learning_community_charter_school" TargetMode="External"/><Relationship Id="rId156" Type="http://schemas.openxmlformats.org/officeDocument/2006/relationships/hyperlink" Target="https://opramachine.com/new/atlantic_community_charter_school" TargetMode="External"/><Relationship Id="rId177" Type="http://schemas.openxmlformats.org/officeDocument/2006/relationships/hyperlink" Target="https://opramachine.com/new/perth_amboy_school_district" TargetMode="External"/><Relationship Id="rId172" Type="http://schemas.openxmlformats.org/officeDocument/2006/relationships/hyperlink" Target="https://opramachine.com/new/alexandria_township_school" TargetMode="External"/><Relationship Id="rId13" Type="http://schemas.openxmlformats.org/officeDocument/2006/relationships/hyperlink" Target="https://opramachine.com/new/hackensack_school_district" TargetMode="External"/><Relationship Id="rId18" Type="http://schemas.openxmlformats.org/officeDocument/2006/relationships/hyperlink" Target="https://opramachine.com/new/north_brunswick_board_of_education" TargetMode="External"/><Relationship Id="rId39" Type="http://schemas.openxmlformats.org/officeDocument/2006/relationships/hyperlink" Target="https://opramachine.com/new/manchester_township_school_district" TargetMode="External"/><Relationship Id="rId109" Type="http://schemas.openxmlformats.org/officeDocument/2006/relationships/hyperlink" Target="https://opramachine.com/new/cedar_grove_board_of_education" TargetMode="External"/><Relationship Id="rId34" Type="http://schemas.openxmlformats.org/officeDocument/2006/relationships/hyperlink" Target="https://opramachine.com/new/manalapan_englishtown_board_of_education" TargetMode="External"/><Relationship Id="rId50" Type="http://schemas.openxmlformats.org/officeDocument/2006/relationships/hyperlink" Target="https://opramachine.com/new/elmwood_park_school_district" TargetMode="External"/><Relationship Id="rId55" Type="http://schemas.openxmlformats.org/officeDocument/2006/relationships/hyperlink" Target="https://opramachine.com/new/great_oaks_legacy_charter_school" TargetMode="External"/><Relationship Id="rId76" Type="http://schemas.openxmlformats.org/officeDocument/2006/relationships/hyperlink" Target="https://opramachine.com/new/paterson_arts_science_charter_school" TargetMode="External"/><Relationship Id="rId97" Type="http://schemas.openxmlformats.org/officeDocument/2006/relationships/hyperlink" Target="https://opramachine.com/new/florence_township_school_district" TargetMode="External"/><Relationship Id="rId104" Type="http://schemas.openxmlformats.org/officeDocument/2006/relationships/hyperlink" Target="https://opramachine.com/new/eastern_camden_county_regional_school_district" TargetMode="External"/><Relationship Id="rId120" Type="http://schemas.openxmlformats.org/officeDocument/2006/relationships/hyperlink" Target="https://opramachine.com/new/red_bank_charter_school" TargetMode="External"/><Relationship Id="rId125" Type="http://schemas.openxmlformats.org/officeDocument/2006/relationships/hyperlink" Target="https://opramachine.com/new/ucvts" TargetMode="External"/><Relationship Id="rId141" Type="http://schemas.openxmlformats.org/officeDocument/2006/relationships/hyperlink" Target="https://opramachine.com/new/south_bound_brook_board_of_education" TargetMode="External"/><Relationship Id="rId146" Type="http://schemas.openxmlformats.org/officeDocument/2006/relationships/hyperlink" Target="https://opramachine.com/new/lawrence_township_school_district" TargetMode="External"/><Relationship Id="rId167" Type="http://schemas.openxmlformats.org/officeDocument/2006/relationships/hyperlink" Target="https://opramachine.com/new/chesterfield_township_school_district" TargetMode="External"/><Relationship Id="rId7" Type="http://schemas.openxmlformats.org/officeDocument/2006/relationships/hyperlink" Target="https://opramachine.com/new/edison_school_district" TargetMode="External"/><Relationship Id="rId71" Type="http://schemas.openxmlformats.org/officeDocument/2006/relationships/hyperlink" Target="https://opramachine.com/new/palisades_park_school_district" TargetMode="External"/><Relationship Id="rId92" Type="http://schemas.openxmlformats.org/officeDocument/2006/relationships/hyperlink" Target="https://opramachine.com/new/south_amboy_school_district" TargetMode="External"/><Relationship Id="rId162" Type="http://schemas.openxmlformats.org/officeDocument/2006/relationships/hyperlink" Target="https://opramachine.com/new/allamuchy_township_school_district" TargetMode="External"/><Relationship Id="rId183" Type="http://schemas.openxmlformats.org/officeDocument/2006/relationships/hyperlink" Target="https://opramachine.com/new/east_orange_board_of_education" TargetMode="External"/><Relationship Id="rId2" Type="http://schemas.openxmlformats.org/officeDocument/2006/relationships/hyperlink" Target="https://opramachine.com/new/trenton_board_of_education" TargetMode="External"/><Relationship Id="rId29" Type="http://schemas.openxmlformats.org/officeDocument/2006/relationships/hyperlink" Target="https://opramachine.com/new/pleasantville_public_school_district" TargetMode="External"/><Relationship Id="rId24" Type="http://schemas.openxmlformats.org/officeDocument/2006/relationships/hyperlink" Target="https://opramachine.com/new/cherry_hill_board_of_education" TargetMode="External"/><Relationship Id="rId40" Type="http://schemas.openxmlformats.org/officeDocument/2006/relationships/hyperlink" Target="https://opramachine.com/new/bound_brook_school_district" TargetMode="External"/><Relationship Id="rId45" Type="http://schemas.openxmlformats.org/officeDocument/2006/relationships/hyperlink" Target="https://opramachine.com/new/lawrence_township_school_district" TargetMode="External"/><Relationship Id="rId66" Type="http://schemas.openxmlformats.org/officeDocument/2006/relationships/hyperlink" Target="https://opramachine.com/new/cinnaminson_township_public_schools" TargetMode="External"/><Relationship Id="rId87" Type="http://schemas.openxmlformats.org/officeDocument/2006/relationships/hyperlink" Target="https://opramachine.com/new/red_bank_charter_school" TargetMode="External"/><Relationship Id="rId110" Type="http://schemas.openxmlformats.org/officeDocument/2006/relationships/hyperlink" Target="https://opramachine.com/new/henry_hudson_regional_school_district" TargetMode="External"/><Relationship Id="rId115" Type="http://schemas.openxmlformats.org/officeDocument/2006/relationships/hyperlink" Target="https://opramachine.com/new/southern_regional_school_district" TargetMode="External"/><Relationship Id="rId131" Type="http://schemas.openxmlformats.org/officeDocument/2006/relationships/hyperlink" Target="https://opramachine.com/new/mullica_township_school_district" TargetMode="External"/><Relationship Id="rId136" Type="http://schemas.openxmlformats.org/officeDocument/2006/relationships/hyperlink" Target="https://opramachine.com/new/thrive_charter_school" TargetMode="External"/><Relationship Id="rId157" Type="http://schemas.openxmlformats.org/officeDocument/2006/relationships/hyperlink" Target="https://opramachine.com/new/dennis_township_school_district" TargetMode="External"/><Relationship Id="rId178" Type="http://schemas.openxmlformats.org/officeDocument/2006/relationships/hyperlink" Target="https://opramachine.com/new/franklin_township_public_schools" TargetMode="External"/><Relationship Id="rId61" Type="http://schemas.openxmlformats.org/officeDocument/2006/relationships/hyperlink" Target="https://opramachine.com/new/roselle_park_school_district" TargetMode="External"/><Relationship Id="rId82" Type="http://schemas.openxmlformats.org/officeDocument/2006/relationships/hyperlink" Target="https://opramachine.com/new/burlington_county_special_services_school_district" TargetMode="External"/><Relationship Id="rId152" Type="http://schemas.openxmlformats.org/officeDocument/2006/relationships/hyperlink" Target="https://opramachine.com/new/academy_charter_high_school" TargetMode="External"/><Relationship Id="rId173" Type="http://schemas.openxmlformats.org/officeDocument/2006/relationships/hyperlink" Target="https://opramachine.com/new/high_bridge_board_of_education" TargetMode="External"/><Relationship Id="rId19" Type="http://schemas.openxmlformats.org/officeDocument/2006/relationships/hyperlink" Target="https://opramachine.com/new/long_branch_board_of_education" TargetMode="External"/><Relationship Id="rId14" Type="http://schemas.openxmlformats.org/officeDocument/2006/relationships/hyperlink" Target="https://opramachine.com/new/west_orange_board_of_education" TargetMode="External"/><Relationship Id="rId30" Type="http://schemas.openxmlformats.org/officeDocument/2006/relationships/hyperlink" Target="https://opramachine.com/new/south_orange_maplewood_board_of_education" TargetMode="External"/><Relationship Id="rId35" Type="http://schemas.openxmlformats.org/officeDocument/2006/relationships/hyperlink" Target="https://opramachine.com/new/barnegat_township_school_district" TargetMode="External"/><Relationship Id="rId56" Type="http://schemas.openxmlformats.org/officeDocument/2006/relationships/hyperlink" Target="https://opramachine.com/new/mount_laurel_board_of_education" TargetMode="External"/><Relationship Id="rId77" Type="http://schemas.openxmlformats.org/officeDocument/2006/relationships/hyperlink" Target="https://opramachine.com/new/buena_regional_school_district" TargetMode="External"/><Relationship Id="rId100" Type="http://schemas.openxmlformats.org/officeDocument/2006/relationships/hyperlink" Target="https://opramachine.com/new/branchburg_township_school_district" TargetMode="External"/><Relationship Id="rId105" Type="http://schemas.openxmlformats.org/officeDocument/2006/relationships/hyperlink" Target="https://opramachine.com/new/robert_treat_academy_charter_school" TargetMode="External"/><Relationship Id="rId126" Type="http://schemas.openxmlformats.org/officeDocument/2006/relationships/hyperlink" Target="https://opramachine.com/new/mainland_regional_high_school" TargetMode="External"/><Relationship Id="rId147" Type="http://schemas.openxmlformats.org/officeDocument/2006/relationships/hyperlink" Target="https://opramachine.com/new/park_ridge_school_district" TargetMode="External"/><Relationship Id="rId168" Type="http://schemas.openxmlformats.org/officeDocument/2006/relationships/hyperlink" Target="https://opramachine.com/new/eastampton_township_school_district" TargetMode="External"/><Relationship Id="rId8" Type="http://schemas.openxmlformats.org/officeDocument/2006/relationships/hyperlink" Target="https://opramachine.com/new/woodbridge_school_district" TargetMode="External"/><Relationship Id="rId51" Type="http://schemas.openxmlformats.org/officeDocument/2006/relationships/hyperlink" Target="https://opramachine.com/new/south_river_school_district" TargetMode="External"/><Relationship Id="rId72" Type="http://schemas.openxmlformats.org/officeDocument/2006/relationships/hyperlink" Target="https://opramachine.com/new/pinelands_regional_school_district" TargetMode="External"/><Relationship Id="rId93" Type="http://schemas.openxmlformats.org/officeDocument/2006/relationships/hyperlink" Target="https://opramachine.com/new/bergen_arts_science_charter_school" TargetMode="External"/><Relationship Id="rId98" Type="http://schemas.openxmlformats.org/officeDocument/2006/relationships/hyperlink" Target="https://opramachine.com/new/somerset_hills_school_district" TargetMode="External"/><Relationship Id="rId121" Type="http://schemas.openxmlformats.org/officeDocument/2006/relationships/hyperlink" Target="https://opramachine.com/new/delaware_valley_regional_board_of_education" TargetMode="External"/><Relationship Id="rId142" Type="http://schemas.openxmlformats.org/officeDocument/2006/relationships/hyperlink" Target="https://opramachine.com/new/rochelle_park_school_district" TargetMode="External"/><Relationship Id="rId163" Type="http://schemas.openxmlformats.org/officeDocument/2006/relationships/hyperlink" Target="https://opramachine.com/new/shore_regional_high_school_district" TargetMode="External"/><Relationship Id="rId184" Type="http://schemas.openxmlformats.org/officeDocument/2006/relationships/hyperlink" Target="https://opramachine.com/new/west_new_york_board_of_education" TargetMode="External"/><Relationship Id="rId3" Type="http://schemas.openxmlformats.org/officeDocument/2006/relationships/hyperlink" Target="https://opramachine.com/new/clifton_board_of_education" TargetMode="External"/><Relationship Id="rId25" Type="http://schemas.openxmlformats.org/officeDocument/2006/relationships/hyperlink" Target="https://opramachine.com/new/south_brunswick_board_of_education" TargetMode="External"/><Relationship Id="rId46" Type="http://schemas.openxmlformats.org/officeDocument/2006/relationships/hyperlink" Target="https://opramachine.com/new/paterson_charter_school_for_science_technology" TargetMode="External"/><Relationship Id="rId67" Type="http://schemas.openxmlformats.org/officeDocument/2006/relationships/hyperlink" Target="https://opramachine.com/new/central_jersey_college_prep_charter_school" TargetMode="External"/><Relationship Id="rId116" Type="http://schemas.openxmlformats.org/officeDocument/2006/relationships/hyperlink" Target="https://opramachine.com/new/midland_park_school_district" TargetMode="External"/><Relationship Id="rId137" Type="http://schemas.openxmlformats.org/officeDocument/2006/relationships/hyperlink" Target="https://opramachine.com/new/tabernacle_township_school_district" TargetMode="External"/><Relationship Id="rId158" Type="http://schemas.openxmlformats.org/officeDocument/2006/relationships/hyperlink" Target="https://opramachine.com/new/thomas_edison_energysmart_charter_school" TargetMode="External"/><Relationship Id="rId20" Type="http://schemas.openxmlformats.org/officeDocument/2006/relationships/hyperlink" Target="https://opramachine.com/new/piscataway_township_school_district" TargetMode="External"/><Relationship Id="rId41" Type="http://schemas.openxmlformats.org/officeDocument/2006/relationships/hyperlink" Target="https://opramachine.com/new/montgomery_township_school_district" TargetMode="External"/><Relationship Id="rId62" Type="http://schemas.openxmlformats.org/officeDocument/2006/relationships/hyperlink" Target="https://opramachine.com/new/hunterdon_central_regional_high_school" TargetMode="External"/><Relationship Id="rId83" Type="http://schemas.openxmlformats.org/officeDocument/2006/relationships/hyperlink" Target="https://opramachine.com/new/atlantic_community_charter_school" TargetMode="External"/><Relationship Id="rId88" Type="http://schemas.openxmlformats.org/officeDocument/2006/relationships/hyperlink" Target="https://opramachine.com/new/saddle_brook_school_district" TargetMode="External"/><Relationship Id="rId111" Type="http://schemas.openxmlformats.org/officeDocument/2006/relationships/hyperlink" Target="https://opramachine.com/new/academy_charter_high_school" TargetMode="External"/><Relationship Id="rId132" Type="http://schemas.openxmlformats.org/officeDocument/2006/relationships/hyperlink" Target="https://opramachine.com/new/berlin_township_school_district" TargetMode="External"/><Relationship Id="rId153" Type="http://schemas.openxmlformats.org/officeDocument/2006/relationships/hyperlink" Target="https://opramachine.com/new/deerfield_township_board_of_education" TargetMode="External"/><Relationship Id="rId174" Type="http://schemas.openxmlformats.org/officeDocument/2006/relationships/hyperlink" Target="https://opramachine.com/new/franklin_township_public_schools" TargetMode="External"/><Relationship Id="rId179" Type="http://schemas.openxmlformats.org/officeDocument/2006/relationships/hyperlink" Target="https://opramachine.com/new/springfield_township_school_district" TargetMode="External"/><Relationship Id="rId15" Type="http://schemas.openxmlformats.org/officeDocument/2006/relationships/hyperlink" Target="https://opramachine.com/new/union_township_board_of_education_union" TargetMode="External"/><Relationship Id="rId36" Type="http://schemas.openxmlformats.org/officeDocument/2006/relationships/hyperlink" Target="https://opramachine.com/new/fair_lawn_board_of_education" TargetMode="External"/><Relationship Id="rId57" Type="http://schemas.openxmlformats.org/officeDocument/2006/relationships/hyperlink" Target="https://opramachine.com/new/burlington_county_institute_of_technology_school_district" TargetMode="External"/><Relationship Id="rId106" Type="http://schemas.openxmlformats.org/officeDocument/2006/relationships/hyperlink" Target="https://opramachine.com/new/franklin_township_public_schools" TargetMode="External"/><Relationship Id="rId127" Type="http://schemas.openxmlformats.org/officeDocument/2006/relationships/hyperlink" Target="https://opramachine.com/new/hanover_township_school_district" TargetMode="External"/><Relationship Id="rId10" Type="http://schemas.openxmlformats.org/officeDocument/2006/relationships/hyperlink" Target="https://opramachine.com/new/atlantic_city_board_of_education" TargetMode="External"/><Relationship Id="rId31" Type="http://schemas.openxmlformats.org/officeDocument/2006/relationships/hyperlink" Target="https://opramachine.com/new/east_windsor_regional_school_district" TargetMode="External"/><Relationship Id="rId52" Type="http://schemas.openxmlformats.org/officeDocument/2006/relationships/hyperlink" Target="https://opramachine.com/new/flemington_raritan_regional_board_of_education" TargetMode="External"/><Relationship Id="rId73" Type="http://schemas.openxmlformats.org/officeDocument/2006/relationships/hyperlink" Target="https://opramachine.com/new/asbury_park_board_of_education" TargetMode="External"/><Relationship Id="rId78" Type="http://schemas.openxmlformats.org/officeDocument/2006/relationships/hyperlink" Target="https://opramachine.com/new/north_arlington_school_district" TargetMode="External"/><Relationship Id="rId94" Type="http://schemas.openxmlformats.org/officeDocument/2006/relationships/hyperlink" Target="https://opramachine.com/new/academy_charter_high_school" TargetMode="External"/><Relationship Id="rId99" Type="http://schemas.openxmlformats.org/officeDocument/2006/relationships/hyperlink" Target="https://opramachine.com/new/washington_township_school_district" TargetMode="External"/><Relationship Id="rId101" Type="http://schemas.openxmlformats.org/officeDocument/2006/relationships/hyperlink" Target="https://opramachine.com/new/ridgewood_school_district" TargetMode="External"/><Relationship Id="rId122" Type="http://schemas.openxmlformats.org/officeDocument/2006/relationships/hyperlink" Target="https://opramachine.com/new/east_rutherford_school_district" TargetMode="External"/><Relationship Id="rId143" Type="http://schemas.openxmlformats.org/officeDocument/2006/relationships/hyperlink" Target="https://opramachine.com/new/rockaway_borough_board_of_education" TargetMode="External"/><Relationship Id="rId148" Type="http://schemas.openxmlformats.org/officeDocument/2006/relationships/hyperlink" Target="https://opramachine.com/new/eastampton_township_school_district" TargetMode="External"/><Relationship Id="rId164" Type="http://schemas.openxmlformats.org/officeDocument/2006/relationships/hyperlink" Target="https://opramachine.com/new/hardyston_township_board_of_education" TargetMode="External"/><Relationship Id="rId169" Type="http://schemas.openxmlformats.org/officeDocument/2006/relationships/hyperlink" Target="https://opramachine.com/new/west_long_branch_school_district" TargetMode="External"/><Relationship Id="rId4" Type="http://schemas.openxmlformats.org/officeDocument/2006/relationships/hyperlink" Target="https://opramachine.com/new/east_orange_board_of_education" TargetMode="External"/><Relationship Id="rId9" Type="http://schemas.openxmlformats.org/officeDocument/2006/relationships/hyperlink" Target="https://opramachine.com/new/vineland_school_district" TargetMode="External"/><Relationship Id="rId180" Type="http://schemas.openxmlformats.org/officeDocument/2006/relationships/hyperlink" Target="https://opramachine.com/new/weymouth_township_school_district" TargetMode="External"/><Relationship Id="rId26" Type="http://schemas.openxmlformats.org/officeDocument/2006/relationships/hyperlink" Target="https://opramachine.com/new/old_bridge_school_district" TargetMode="External"/><Relationship Id="rId47" Type="http://schemas.openxmlformats.org/officeDocument/2006/relationships/hyperlink" Target="https://opramachine.com/new/hopewell_valley_regional_school_district" TargetMode="External"/><Relationship Id="rId68" Type="http://schemas.openxmlformats.org/officeDocument/2006/relationships/hyperlink" Target="https://opramachine.com/new/berkeley_township_school_district" TargetMode="External"/><Relationship Id="rId89" Type="http://schemas.openxmlformats.org/officeDocument/2006/relationships/hyperlink" Target="https://opramachine.com/new/riverside_township_school_district" TargetMode="External"/><Relationship Id="rId112" Type="http://schemas.openxmlformats.org/officeDocument/2006/relationships/hyperlink" Target="https://opramachine.com/new/egg_harbor_city_school_district" TargetMode="External"/><Relationship Id="rId133" Type="http://schemas.openxmlformats.org/officeDocument/2006/relationships/hyperlink" Target="https://opramachine.com/new/mansfield_township_school_district" TargetMode="External"/><Relationship Id="rId154" Type="http://schemas.openxmlformats.org/officeDocument/2006/relationships/hyperlink" Target="https://opramachine.com/new/atlantic_community_charter_school" TargetMode="External"/><Relationship Id="rId175" Type="http://schemas.openxmlformats.org/officeDocument/2006/relationships/hyperlink" Target="https://opramachine.com/new/estell_manor_school_district" TargetMode="External"/><Relationship Id="rId16" Type="http://schemas.openxmlformats.org/officeDocument/2006/relationships/hyperlink" Target="https://opramachine.com/new/linden_public_schools" TargetMode="External"/><Relationship Id="rId37" Type="http://schemas.openxmlformats.org/officeDocument/2006/relationships/hyperlink" Target="https://opramachine.com/new/burlington_township_board_of_education" TargetMode="External"/><Relationship Id="rId58" Type="http://schemas.openxmlformats.org/officeDocument/2006/relationships/hyperlink" Target="https://opramachine.com/new/middle_township_public_schools" TargetMode="External"/><Relationship Id="rId79" Type="http://schemas.openxmlformats.org/officeDocument/2006/relationships/hyperlink" Target="https://opramachine.com/new/caldwell_west_caldwell_public_schools" TargetMode="External"/><Relationship Id="rId102" Type="http://schemas.openxmlformats.org/officeDocument/2006/relationships/hyperlink" Target="https://opramachine.com/new/tinton_falls_school_district" TargetMode="External"/><Relationship Id="rId123" Type="http://schemas.openxmlformats.org/officeDocument/2006/relationships/hyperlink" Target="https://opramachine.com/new/plumsted_township_board_of_education" TargetMode="External"/><Relationship Id="rId144" Type="http://schemas.openxmlformats.org/officeDocument/2006/relationships/hyperlink" Target="https://opramachine.com/new/south_bergen_jointure_commission_school_district" TargetMode="External"/><Relationship Id="rId90" Type="http://schemas.openxmlformats.org/officeDocument/2006/relationships/hyperlink" Target="https://opramachine.com/new/bordentown_regional_school_district" TargetMode="External"/><Relationship Id="rId165" Type="http://schemas.openxmlformats.org/officeDocument/2006/relationships/hyperlink" Target="https://opramachine.com/new/bedminster_township_school" TargetMode="External"/><Relationship Id="rId27" Type="http://schemas.openxmlformats.org/officeDocument/2006/relationships/hyperlink" Target="https://opramachine.com/new/parsippany_troy_hills_school_district" TargetMode="External"/><Relationship Id="rId48" Type="http://schemas.openxmlformats.org/officeDocument/2006/relationships/hyperlink" Target="https://opramachine.com/new/evesham_township_school_district" TargetMode="External"/><Relationship Id="rId69" Type="http://schemas.openxmlformats.org/officeDocument/2006/relationships/hyperlink" Target="https://opramachine.com/new/southern_regional_school_district" TargetMode="External"/><Relationship Id="rId113" Type="http://schemas.openxmlformats.org/officeDocument/2006/relationships/hyperlink" Target="https://opramachine.com/new/highpoint_regional_school_district" TargetMode="External"/><Relationship Id="rId134" Type="http://schemas.openxmlformats.org/officeDocument/2006/relationships/hyperlink" Target="https://opramachine.com/new/union_beach_school_district" TargetMode="External"/><Relationship Id="rId80" Type="http://schemas.openxmlformats.org/officeDocument/2006/relationships/hyperlink" Target="https://opramachine.com/new/academy_charter_high_school" TargetMode="External"/><Relationship Id="rId155" Type="http://schemas.openxmlformats.org/officeDocument/2006/relationships/hyperlink" Target="https://opramachine.com/new/mansfield_township_school_district" TargetMode="External"/><Relationship Id="rId176" Type="http://schemas.openxmlformats.org/officeDocument/2006/relationships/hyperlink" Target="https://opramachine.com/new/lafayette_township_school_district" TargetMode="External"/><Relationship Id="rId17" Type="http://schemas.openxmlformats.org/officeDocument/2006/relationships/hyperlink" Target="https://opramachine.com/new/garfield_public_school_district" TargetMode="External"/><Relationship Id="rId38" Type="http://schemas.openxmlformats.org/officeDocument/2006/relationships/hyperlink" Target="https://opramachine.com/new/fort_lee_board_of_education" TargetMode="External"/><Relationship Id="rId59" Type="http://schemas.openxmlformats.org/officeDocument/2006/relationships/hyperlink" Target="https://opramachine.com/new/freehold_township_board_of_education" TargetMode="External"/><Relationship Id="rId103" Type="http://schemas.openxmlformats.org/officeDocument/2006/relationships/hyperlink" Target="https://opramachine.com/new/cumberland_regional_board_of_education" TargetMode="External"/><Relationship Id="rId124" Type="http://schemas.openxmlformats.org/officeDocument/2006/relationships/hyperlink" Target="https://opramachine.com/new/upper_township_school_district" TargetMode="External"/><Relationship Id="rId70" Type="http://schemas.openxmlformats.org/officeDocument/2006/relationships/hyperlink" Target="https://opramachine.com/new/academy_charter_high_school" TargetMode="External"/><Relationship Id="rId91" Type="http://schemas.openxmlformats.org/officeDocument/2006/relationships/hyperlink" Target="https://opramachine.com/new/ocean_city_school_district" TargetMode="External"/><Relationship Id="rId145" Type="http://schemas.openxmlformats.org/officeDocument/2006/relationships/hyperlink" Target="https://opramachine.com/new/cape_may_special_services_school_district" TargetMode="External"/><Relationship Id="rId166" Type="http://schemas.openxmlformats.org/officeDocument/2006/relationships/hyperlink" Target="https://opramachine.com/new/morris_plains_board_of_education" TargetMode="External"/><Relationship Id="rId1" Type="http://schemas.openxmlformats.org/officeDocument/2006/relationships/hyperlink" Target="https://opramachine.com/new/union_city_school_district" TargetMode="External"/><Relationship Id="rId28" Type="http://schemas.openxmlformats.org/officeDocument/2006/relationships/hyperlink" Target="https://opramachine.com/new/morris_school_district" TargetMode="External"/><Relationship Id="rId49" Type="http://schemas.openxmlformats.org/officeDocument/2006/relationships/hyperlink" Target="https://opramachine.com/new/passaic_arts_science_charter_school" TargetMode="External"/><Relationship Id="rId114" Type="http://schemas.openxmlformats.org/officeDocument/2006/relationships/hyperlink" Target="https://opramachine.com/new/chesterfield_township_school_distri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K48"/>
  <sheetViews>
    <sheetView tabSelected="1" zoomScaleNormal="100" workbookViewId="0">
      <pane ySplit="1" topLeftCell="A11" activePane="bottomLeft" state="frozen"/>
      <selection pane="bottomLeft" activeCell="A18" sqref="A18"/>
    </sheetView>
  </sheetViews>
  <sheetFormatPr baseColWidth="10" defaultColWidth="8.6640625" defaultRowHeight="15" x14ac:dyDescent="0.2"/>
  <cols>
    <col min="1" max="2" width="60" customWidth="1"/>
    <col min="3" max="3" width="45" customWidth="1"/>
    <col min="4" max="4" width="16" customWidth="1"/>
    <col min="5" max="5" width="18" customWidth="1"/>
    <col min="6" max="6" width="22" customWidth="1"/>
    <col min="7" max="7" width="32" customWidth="1"/>
    <col min="8" max="8" width="40" customWidth="1"/>
    <col min="9" max="9" width="8" customWidth="1"/>
    <col min="10" max="10" width="65" customWidth="1"/>
  </cols>
  <sheetData>
    <row r="1" spans="1:11" ht="27.75" customHeight="1" x14ac:dyDescent="0.2">
      <c r="A1" s="1" t="s">
        <v>960</v>
      </c>
      <c r="B1" s="1" t="s">
        <v>961</v>
      </c>
      <c r="C1" s="1" t="s">
        <v>962</v>
      </c>
      <c r="D1" s="1" t="s">
        <v>963</v>
      </c>
      <c r="E1" s="2" t="s">
        <v>964</v>
      </c>
      <c r="F1" s="1" t="s">
        <v>965</v>
      </c>
      <c r="G1" s="1" t="s">
        <v>966</v>
      </c>
      <c r="H1" s="3" t="s">
        <v>967</v>
      </c>
      <c r="I1" s="3" t="s">
        <v>968</v>
      </c>
      <c r="J1" s="4" t="s">
        <v>969</v>
      </c>
      <c r="K1" s="5" t="s">
        <v>970</v>
      </c>
    </row>
    <row r="2" spans="1:11" ht="100.5" customHeight="1" x14ac:dyDescent="0.2">
      <c r="A2" s="6" t="s">
        <v>971</v>
      </c>
      <c r="B2" s="7" t="str">
        <f t="shared" ref="B2:B13" si="0">HYPERLINK(A2,"Link")</f>
        <v>Link</v>
      </c>
      <c r="C2" s="8" t="s">
        <v>972</v>
      </c>
      <c r="D2" s="8" t="s">
        <v>973</v>
      </c>
      <c r="E2" s="9" t="s">
        <v>974</v>
      </c>
      <c r="F2" s="8" t="s">
        <v>975</v>
      </c>
      <c r="G2" s="10" t="s">
        <v>976</v>
      </c>
      <c r="H2" s="11" t="s">
        <v>977</v>
      </c>
      <c r="I2" s="11" t="s">
        <v>978</v>
      </c>
      <c r="J2" s="12" t="s">
        <v>979</v>
      </c>
      <c r="K2" s="13" t="s">
        <v>980</v>
      </c>
    </row>
    <row r="3" spans="1:11" ht="72" customHeight="1" x14ac:dyDescent="0.2">
      <c r="A3" s="14" t="s">
        <v>981</v>
      </c>
      <c r="B3" s="7" t="str">
        <f t="shared" si="0"/>
        <v>Link</v>
      </c>
      <c r="C3" s="15" t="s">
        <v>982</v>
      </c>
      <c r="D3" s="15" t="s">
        <v>983</v>
      </c>
      <c r="E3" s="16" t="s">
        <v>984</v>
      </c>
      <c r="F3" s="15" t="s">
        <v>985</v>
      </c>
      <c r="G3" s="17" t="s">
        <v>976</v>
      </c>
      <c r="H3" s="18" t="s">
        <v>986</v>
      </c>
      <c r="I3" s="19" t="s">
        <v>987</v>
      </c>
      <c r="J3" s="20" t="s">
        <v>979</v>
      </c>
      <c r="K3" s="13" t="s">
        <v>988</v>
      </c>
    </row>
    <row r="4" spans="1:11" ht="72" customHeight="1" x14ac:dyDescent="0.2">
      <c r="A4" s="6" t="s">
        <v>989</v>
      </c>
      <c r="B4" s="7" t="str">
        <f t="shared" si="0"/>
        <v>Link</v>
      </c>
      <c r="C4" s="8" t="s">
        <v>990</v>
      </c>
      <c r="D4" s="8" t="s">
        <v>973</v>
      </c>
      <c r="E4" s="9" t="s">
        <v>991</v>
      </c>
      <c r="F4" s="8" t="s">
        <v>992</v>
      </c>
      <c r="G4" s="10" t="s">
        <v>976</v>
      </c>
      <c r="H4" s="11" t="s">
        <v>993</v>
      </c>
      <c r="I4" s="21" t="s">
        <v>994</v>
      </c>
      <c r="J4" s="12" t="s">
        <v>979</v>
      </c>
      <c r="K4" s="13" t="s">
        <v>995</v>
      </c>
    </row>
    <row r="5" spans="1:11" ht="72" customHeight="1" x14ac:dyDescent="0.2">
      <c r="A5" s="14" t="s">
        <v>996</v>
      </c>
      <c r="B5" s="7" t="str">
        <f t="shared" si="0"/>
        <v>Link</v>
      </c>
      <c r="C5" s="15" t="s">
        <v>997</v>
      </c>
      <c r="D5" s="15" t="s">
        <v>983</v>
      </c>
      <c r="E5" s="16" t="s">
        <v>991</v>
      </c>
      <c r="F5" s="15" t="s">
        <v>998</v>
      </c>
      <c r="G5" s="17" t="s">
        <v>976</v>
      </c>
      <c r="H5" s="18" t="s">
        <v>993</v>
      </c>
      <c r="I5" s="19" t="s">
        <v>999</v>
      </c>
      <c r="J5" s="20" t="s">
        <v>979</v>
      </c>
      <c r="K5" s="13" t="s">
        <v>1000</v>
      </c>
    </row>
    <row r="6" spans="1:11" ht="72" customHeight="1" x14ac:dyDescent="0.2">
      <c r="A6" s="6" t="s">
        <v>1001</v>
      </c>
      <c r="B6" s="7" t="str">
        <f t="shared" si="0"/>
        <v>Link</v>
      </c>
      <c r="C6" s="8" t="s">
        <v>1002</v>
      </c>
      <c r="D6" s="8" t="s">
        <v>973</v>
      </c>
      <c r="E6" s="9" t="s">
        <v>1003</v>
      </c>
      <c r="F6" s="8" t="s">
        <v>1004</v>
      </c>
      <c r="G6" s="10" t="s">
        <v>976</v>
      </c>
      <c r="H6" s="11" t="s">
        <v>993</v>
      </c>
      <c r="I6" s="11" t="s">
        <v>1005</v>
      </c>
      <c r="J6" s="12" t="s">
        <v>979</v>
      </c>
      <c r="K6" s="13" t="s">
        <v>1006</v>
      </c>
    </row>
    <row r="7" spans="1:11" ht="79.5" customHeight="1" x14ac:dyDescent="0.2">
      <c r="A7" s="22" t="s">
        <v>1007</v>
      </c>
      <c r="B7" s="23" t="str">
        <f t="shared" si="0"/>
        <v>Link</v>
      </c>
      <c r="C7" s="24" t="s">
        <v>990</v>
      </c>
      <c r="D7" s="24" t="s">
        <v>973</v>
      </c>
      <c r="E7" s="9" t="s">
        <v>991</v>
      </c>
      <c r="F7" s="24" t="s">
        <v>1008</v>
      </c>
      <c r="G7" s="25" t="s">
        <v>1009</v>
      </c>
      <c r="H7" s="24" t="s">
        <v>993</v>
      </c>
      <c r="I7" s="24" t="s">
        <v>1010</v>
      </c>
      <c r="J7" s="12" t="s">
        <v>979</v>
      </c>
      <c r="K7" s="13" t="s">
        <v>1011</v>
      </c>
    </row>
    <row r="8" spans="1:11" ht="79.5" customHeight="1" x14ac:dyDescent="0.2">
      <c r="A8" s="26" t="s">
        <v>1012</v>
      </c>
      <c r="B8" s="27" t="str">
        <f t="shared" si="0"/>
        <v>Link</v>
      </c>
      <c r="C8" s="28" t="s">
        <v>1013</v>
      </c>
      <c r="D8" s="28" t="s">
        <v>983</v>
      </c>
      <c r="E8" s="16" t="s">
        <v>1003</v>
      </c>
      <c r="F8" s="28" t="s">
        <v>1014</v>
      </c>
      <c r="G8" s="29" t="s">
        <v>1015</v>
      </c>
      <c r="H8" s="28" t="s">
        <v>993</v>
      </c>
      <c r="I8" s="28" t="s">
        <v>1016</v>
      </c>
      <c r="J8" s="20" t="s">
        <v>1017</v>
      </c>
      <c r="K8" s="13" t="s">
        <v>1018</v>
      </c>
    </row>
    <row r="9" spans="1:11" ht="79.5" customHeight="1" x14ac:dyDescent="0.2">
      <c r="A9" s="22" t="s">
        <v>1019</v>
      </c>
      <c r="B9" s="23" t="str">
        <f t="shared" si="0"/>
        <v>Link</v>
      </c>
      <c r="C9" s="24" t="s">
        <v>1020</v>
      </c>
      <c r="D9" s="24" t="s">
        <v>983</v>
      </c>
      <c r="E9" s="9" t="s">
        <v>991</v>
      </c>
      <c r="F9" s="24" t="s">
        <v>1021</v>
      </c>
      <c r="G9" s="25" t="s">
        <v>1015</v>
      </c>
      <c r="H9" s="24" t="s">
        <v>993</v>
      </c>
      <c r="I9" s="24" t="s">
        <v>1022</v>
      </c>
      <c r="J9" s="12" t="s">
        <v>1017</v>
      </c>
      <c r="K9" s="13" t="s">
        <v>1023</v>
      </c>
    </row>
    <row r="10" spans="1:11" ht="79.5" customHeight="1" x14ac:dyDescent="0.2">
      <c r="A10" s="26" t="s">
        <v>1024</v>
      </c>
      <c r="B10" s="27" t="str">
        <f t="shared" si="0"/>
        <v>Link</v>
      </c>
      <c r="C10" s="28" t="s">
        <v>1025</v>
      </c>
      <c r="D10" s="28" t="s">
        <v>983</v>
      </c>
      <c r="E10" s="16" t="s">
        <v>991</v>
      </c>
      <c r="F10" s="28" t="s">
        <v>1026</v>
      </c>
      <c r="G10" s="29" t="s">
        <v>1015</v>
      </c>
      <c r="H10" s="28" t="s">
        <v>993</v>
      </c>
      <c r="I10" s="28" t="s">
        <v>1027</v>
      </c>
      <c r="J10" s="20" t="s">
        <v>1017</v>
      </c>
      <c r="K10" s="13" t="s">
        <v>1028</v>
      </c>
    </row>
    <row r="11" spans="1:11" ht="79.5" customHeight="1" x14ac:dyDescent="0.2">
      <c r="A11" s="22" t="s">
        <v>1029</v>
      </c>
      <c r="B11" s="23" t="str">
        <f t="shared" si="0"/>
        <v>Link</v>
      </c>
      <c r="C11" s="24" t="s">
        <v>1030</v>
      </c>
      <c r="D11" s="24" t="s">
        <v>983</v>
      </c>
      <c r="E11" s="9" t="s">
        <v>974</v>
      </c>
      <c r="F11" s="24" t="s">
        <v>1031</v>
      </c>
      <c r="G11" s="25" t="s">
        <v>1015</v>
      </c>
      <c r="H11" s="24" t="s">
        <v>993</v>
      </c>
      <c r="I11" s="24" t="s">
        <v>1032</v>
      </c>
      <c r="J11" s="12" t="s">
        <v>1017</v>
      </c>
      <c r="K11" s="13" t="s">
        <v>1033</v>
      </c>
    </row>
    <row r="12" spans="1:11" ht="79.5" customHeight="1" x14ac:dyDescent="0.2">
      <c r="A12" s="26" t="s">
        <v>1034</v>
      </c>
      <c r="B12" s="27" t="str">
        <f t="shared" si="0"/>
        <v>Link</v>
      </c>
      <c r="C12" s="28" t="s">
        <v>1035</v>
      </c>
      <c r="D12" s="28" t="s">
        <v>983</v>
      </c>
      <c r="E12" s="16" t="s">
        <v>974</v>
      </c>
      <c r="F12" s="28" t="s">
        <v>1036</v>
      </c>
      <c r="G12" s="29" t="s">
        <v>1015</v>
      </c>
      <c r="H12" s="28" t="s">
        <v>993</v>
      </c>
      <c r="I12" s="28" t="s">
        <v>1037</v>
      </c>
      <c r="J12" s="20" t="s">
        <v>1017</v>
      </c>
      <c r="K12" s="13" t="s">
        <v>1038</v>
      </c>
    </row>
    <row r="13" spans="1:11" ht="79.5" customHeight="1" x14ac:dyDescent="0.2">
      <c r="A13" s="22" t="s">
        <v>1039</v>
      </c>
      <c r="B13" s="23" t="str">
        <f t="shared" si="0"/>
        <v>Link</v>
      </c>
      <c r="C13" s="24" t="s">
        <v>1040</v>
      </c>
      <c r="D13" s="24" t="s">
        <v>1041</v>
      </c>
      <c r="E13" s="9" t="s">
        <v>1042</v>
      </c>
      <c r="F13" s="24" t="s">
        <v>1043</v>
      </c>
      <c r="G13" s="25" t="s">
        <v>1015</v>
      </c>
      <c r="H13" s="24" t="s">
        <v>993</v>
      </c>
      <c r="I13" s="24" t="s">
        <v>1044</v>
      </c>
      <c r="J13" s="12" t="s">
        <v>1017</v>
      </c>
      <c r="K13" s="13" t="s">
        <v>1045</v>
      </c>
    </row>
    <row r="14" spans="1:11" ht="79.5" customHeight="1" x14ac:dyDescent="0.2">
      <c r="A14" s="26" t="s">
        <v>1046</v>
      </c>
      <c r="B14" s="68" t="str">
        <f>HYPERLINK("file://"&amp;SUBSTITUTE(A14," ","%20"),"Link")</f>
        <v>Link</v>
      </c>
      <c r="C14" s="28" t="s">
        <v>1047</v>
      </c>
      <c r="D14" s="28" t="s">
        <v>1041</v>
      </c>
      <c r="E14" s="16" t="s">
        <v>1042</v>
      </c>
      <c r="F14" s="28" t="s">
        <v>1048</v>
      </c>
      <c r="G14" s="29" t="s">
        <v>1015</v>
      </c>
      <c r="H14" s="28" t="s">
        <v>993</v>
      </c>
      <c r="I14" s="28" t="s">
        <v>1049</v>
      </c>
      <c r="J14" s="20" t="s">
        <v>1017</v>
      </c>
      <c r="K14" s="13" t="s">
        <v>1050</v>
      </c>
    </row>
    <row r="15" spans="1:11" ht="30" customHeight="1" x14ac:dyDescent="0.2">
      <c r="A15" s="30" t="s">
        <v>1051</v>
      </c>
      <c r="B15" s="68" t="str">
        <f t="shared" ref="B15:B22" si="1">HYPERLINK("file://"&amp;SUBSTITUTE(A15," ","%20"),"Link")</f>
        <v>Link</v>
      </c>
      <c r="C15" s="31" t="s">
        <v>1052</v>
      </c>
      <c r="D15" s="31" t="s">
        <v>1041</v>
      </c>
      <c r="E15" s="32" t="s">
        <v>1042</v>
      </c>
      <c r="F15" s="31" t="s">
        <v>1053</v>
      </c>
      <c r="G15" s="31" t="s">
        <v>1054</v>
      </c>
      <c r="H15" s="66" t="s">
        <v>1055</v>
      </c>
      <c r="I15" s="31" t="s">
        <v>1056</v>
      </c>
      <c r="J15" s="31" t="s">
        <v>979</v>
      </c>
      <c r="K15" s="31" t="s">
        <v>1057</v>
      </c>
    </row>
    <row r="16" spans="1:11" ht="30" customHeight="1" x14ac:dyDescent="0.2">
      <c r="A16" s="33" t="s">
        <v>1058</v>
      </c>
      <c r="B16" s="68" t="str">
        <f t="shared" si="1"/>
        <v>Link</v>
      </c>
      <c r="C16" s="34" t="s">
        <v>1059</v>
      </c>
      <c r="D16" s="34" t="s">
        <v>973</v>
      </c>
      <c r="E16" s="9" t="s">
        <v>974</v>
      </c>
      <c r="F16" s="34" t="s">
        <v>1060</v>
      </c>
      <c r="G16" s="34" t="s">
        <v>1054</v>
      </c>
      <c r="H16" s="67" t="s">
        <v>1055</v>
      </c>
      <c r="I16" s="34" t="s">
        <v>1061</v>
      </c>
      <c r="J16" s="34" t="s">
        <v>979</v>
      </c>
      <c r="K16" s="34" t="s">
        <v>1062</v>
      </c>
    </row>
    <row r="17" spans="1:11" ht="30" customHeight="1" x14ac:dyDescent="0.2">
      <c r="A17" s="30" t="s">
        <v>1063</v>
      </c>
      <c r="B17" s="68" t="str">
        <f t="shared" si="1"/>
        <v>Link</v>
      </c>
      <c r="C17" s="31" t="s">
        <v>1064</v>
      </c>
      <c r="D17" s="31" t="s">
        <v>973</v>
      </c>
      <c r="E17" s="32" t="s">
        <v>974</v>
      </c>
      <c r="F17" s="31" t="s">
        <v>1065</v>
      </c>
      <c r="G17" s="31" t="s">
        <v>1066</v>
      </c>
      <c r="H17" s="66" t="s">
        <v>1055</v>
      </c>
      <c r="I17" s="31" t="s">
        <v>1067</v>
      </c>
      <c r="J17" s="31" t="s">
        <v>979</v>
      </c>
      <c r="K17" s="31" t="s">
        <v>1068</v>
      </c>
    </row>
    <row r="18" spans="1:11" ht="30" customHeight="1" x14ac:dyDescent="0.2">
      <c r="A18" s="33" t="s">
        <v>1069</v>
      </c>
      <c r="B18" s="68" t="str">
        <f t="shared" si="1"/>
        <v>Link</v>
      </c>
      <c r="C18" s="34" t="s">
        <v>1070</v>
      </c>
      <c r="D18" s="34" t="s">
        <v>973</v>
      </c>
      <c r="E18" s="9" t="s">
        <v>991</v>
      </c>
      <c r="F18" s="34" t="s">
        <v>1071</v>
      </c>
      <c r="G18" s="34" t="s">
        <v>1066</v>
      </c>
      <c r="H18" s="67" t="s">
        <v>1055</v>
      </c>
      <c r="I18" s="34" t="s">
        <v>1072</v>
      </c>
      <c r="J18" s="34" t="s">
        <v>979</v>
      </c>
      <c r="K18" s="34" t="s">
        <v>1073</v>
      </c>
    </row>
    <row r="19" spans="1:11" ht="30" customHeight="1" x14ac:dyDescent="0.2">
      <c r="A19" s="30" t="s">
        <v>1074</v>
      </c>
      <c r="B19" s="68" t="str">
        <f>HYPERLINK("file://"&amp;SUBSTITUTE(A19," ","%20"),"Link")</f>
        <v>Link</v>
      </c>
      <c r="C19" s="31" t="s">
        <v>1075</v>
      </c>
      <c r="D19" s="31" t="s">
        <v>983</v>
      </c>
      <c r="E19" s="32" t="s">
        <v>991</v>
      </c>
      <c r="F19" s="31" t="s">
        <v>1076</v>
      </c>
      <c r="G19" s="31" t="s">
        <v>1077</v>
      </c>
      <c r="H19" s="66" t="s">
        <v>1055</v>
      </c>
      <c r="I19" s="31" t="s">
        <v>1078</v>
      </c>
      <c r="J19" s="31" t="s">
        <v>979</v>
      </c>
      <c r="K19" s="31" t="s">
        <v>1079</v>
      </c>
    </row>
    <row r="20" spans="1:11" ht="30" customHeight="1" x14ac:dyDescent="0.2">
      <c r="A20" s="33" t="s">
        <v>1080</v>
      </c>
      <c r="B20" s="68" t="str">
        <f t="shared" si="1"/>
        <v>Link</v>
      </c>
      <c r="C20" s="34" t="s">
        <v>1081</v>
      </c>
      <c r="D20" s="34" t="s">
        <v>973</v>
      </c>
      <c r="E20" s="9" t="s">
        <v>974</v>
      </c>
      <c r="F20" s="34" t="s">
        <v>1082</v>
      </c>
      <c r="G20" s="34" t="s">
        <v>1077</v>
      </c>
      <c r="H20" s="67" t="s">
        <v>1055</v>
      </c>
      <c r="I20" s="34" t="s">
        <v>1083</v>
      </c>
      <c r="J20" s="34" t="s">
        <v>979</v>
      </c>
      <c r="K20" s="34" t="s">
        <v>1084</v>
      </c>
    </row>
    <row r="21" spans="1:11" ht="20.25" customHeight="1" x14ac:dyDescent="0.2">
      <c r="A21" s="30" t="s">
        <v>1085</v>
      </c>
      <c r="B21" s="68" t="str">
        <f t="shared" si="1"/>
        <v>Link</v>
      </c>
      <c r="C21" s="31" t="s">
        <v>1086</v>
      </c>
      <c r="D21" s="31" t="s">
        <v>983</v>
      </c>
      <c r="E21" s="32" t="s">
        <v>984</v>
      </c>
      <c r="F21" s="31" t="s">
        <v>1087</v>
      </c>
      <c r="G21" s="31" t="s">
        <v>1077</v>
      </c>
      <c r="H21" s="66" t="s">
        <v>1055</v>
      </c>
      <c r="I21" s="31" t="s">
        <v>1088</v>
      </c>
      <c r="J21" s="31" t="s">
        <v>979</v>
      </c>
      <c r="K21" s="31" t="s">
        <v>1089</v>
      </c>
    </row>
    <row r="22" spans="1:11" ht="30" customHeight="1" x14ac:dyDescent="0.2">
      <c r="A22" s="33" t="s">
        <v>1090</v>
      </c>
      <c r="B22" s="68" t="str">
        <f t="shared" si="1"/>
        <v>Link</v>
      </c>
      <c r="C22" s="34" t="s">
        <v>1091</v>
      </c>
      <c r="D22" s="34" t="s">
        <v>973</v>
      </c>
      <c r="E22" s="9" t="s">
        <v>1042</v>
      </c>
      <c r="F22" s="34" t="s">
        <v>1092</v>
      </c>
      <c r="G22" s="34" t="s">
        <v>1093</v>
      </c>
      <c r="H22" s="67" t="s">
        <v>943</v>
      </c>
      <c r="I22" s="34" t="s">
        <v>1094</v>
      </c>
      <c r="J22" s="34" t="s">
        <v>979</v>
      </c>
      <c r="K22" s="34" t="s">
        <v>1095</v>
      </c>
    </row>
    <row r="23" spans="1:11" ht="30" customHeight="1" x14ac:dyDescent="0.2"/>
    <row r="24" spans="1:11" ht="30" customHeight="1" x14ac:dyDescent="0.2">
      <c r="C24" s="69" t="s">
        <v>1096</v>
      </c>
    </row>
    <row r="25" spans="1:11" ht="30" customHeight="1" x14ac:dyDescent="0.2"/>
    <row r="26" spans="1:11" ht="30" customHeight="1" x14ac:dyDescent="0.2"/>
    <row r="27" spans="1:11" ht="30" customHeight="1" x14ac:dyDescent="0.2"/>
    <row r="28" spans="1:11" ht="30" customHeight="1" x14ac:dyDescent="0.2"/>
    <row r="29" spans="1:11" ht="30" customHeight="1" x14ac:dyDescent="0.2"/>
    <row r="30" spans="1:11" ht="30" customHeight="1" x14ac:dyDescent="0.2"/>
    <row r="31" spans="1:11" ht="30" customHeight="1" x14ac:dyDescent="0.2"/>
    <row r="32" spans="1:11" ht="30" customHeight="1" x14ac:dyDescent="0.2"/>
    <row r="33" ht="20.25"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20.25" customHeight="1" x14ac:dyDescent="0.2"/>
    <row r="42" ht="30" customHeight="1" x14ac:dyDescent="0.2"/>
    <row r="43" ht="30" customHeight="1" x14ac:dyDescent="0.2"/>
    <row r="44" ht="20.25" customHeight="1" x14ac:dyDescent="0.2"/>
    <row r="45" ht="30" customHeight="1" x14ac:dyDescent="0.2"/>
    <row r="46" ht="30" customHeight="1" x14ac:dyDescent="0.2"/>
    <row r="47" ht="20.25" customHeight="1" x14ac:dyDescent="0.2"/>
    <row r="48" ht="20.25" customHeight="1" x14ac:dyDescent="0.2"/>
  </sheetData>
  <autoFilter ref="A1:K22" xr:uid="{00000000-0009-0000-0000-000000000000}"/>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C24" r:id="rId6" xr:uid="{C2EEE202-0D2D-DD49-A89C-0349A68AF663}"/>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M456"/>
  <sheetViews>
    <sheetView zoomScaleNormal="100" workbookViewId="0">
      <pane ySplit="1" topLeftCell="A134" activePane="bottomLeft" state="frozen"/>
      <selection pane="bottomLeft" activeCell="J32" sqref="J32"/>
    </sheetView>
  </sheetViews>
  <sheetFormatPr baseColWidth="10" defaultColWidth="8.83203125" defaultRowHeight="15" x14ac:dyDescent="0.2"/>
  <cols>
    <col min="1" max="1" width="14" customWidth="1"/>
    <col min="2" max="2" width="38" customWidth="1"/>
    <col min="3" max="3" width="14" customWidth="1"/>
    <col min="4" max="4" width="22" customWidth="1"/>
    <col min="5" max="5" width="10" customWidth="1"/>
    <col min="6" max="6" width="22" customWidth="1"/>
    <col min="7" max="7" width="26" customWidth="1"/>
    <col min="8" max="8" width="13" customWidth="1"/>
    <col min="9" max="10" width="16" customWidth="1"/>
    <col min="11" max="11" width="55" customWidth="1"/>
    <col min="12" max="12" width="18" customWidth="1"/>
  </cols>
  <sheetData>
    <row r="1" spans="1:13" ht="31.5" customHeight="1" x14ac:dyDescent="0.2">
      <c r="A1" s="35" t="s">
        <v>0</v>
      </c>
      <c r="B1" s="35" t="s">
        <v>1</v>
      </c>
      <c r="C1" s="35" t="s">
        <v>2</v>
      </c>
      <c r="D1" s="35" t="s">
        <v>3</v>
      </c>
      <c r="E1" s="35" t="s">
        <v>4</v>
      </c>
      <c r="F1" s="35" t="s">
        <v>5</v>
      </c>
      <c r="G1" s="35" t="s">
        <v>6</v>
      </c>
      <c r="H1" s="35" t="s">
        <v>7</v>
      </c>
      <c r="I1" s="35" t="s">
        <v>8</v>
      </c>
      <c r="J1" s="35" t="s">
        <v>9</v>
      </c>
      <c r="K1" s="36" t="s">
        <v>10</v>
      </c>
      <c r="L1" s="37" t="s">
        <v>11</v>
      </c>
      <c r="M1" s="38" t="s">
        <v>12</v>
      </c>
    </row>
    <row r="2" spans="1:13" ht="15.75" customHeight="1" x14ac:dyDescent="0.2">
      <c r="A2" s="39" t="s">
        <v>13</v>
      </c>
      <c r="B2" s="40" t="s">
        <v>14</v>
      </c>
      <c r="C2" s="39" t="s">
        <v>15</v>
      </c>
      <c r="D2" s="41" t="s">
        <v>16</v>
      </c>
      <c r="E2" s="39" t="s">
        <v>17</v>
      </c>
      <c r="F2" s="42" t="s">
        <v>18</v>
      </c>
      <c r="G2" s="43" t="s">
        <v>19</v>
      </c>
      <c r="H2" s="44">
        <v>46117</v>
      </c>
      <c r="I2" s="44">
        <f t="shared" ref="I2:I65" si="0">IF(H2="","",H2+9)</f>
        <v>46126</v>
      </c>
      <c r="J2" s="39"/>
      <c r="L2" s="45"/>
      <c r="M2" s="46">
        <v>10997062.59</v>
      </c>
    </row>
    <row r="3" spans="1:13" ht="15.75" customHeight="1" x14ac:dyDescent="0.2">
      <c r="A3" s="47" t="s">
        <v>20</v>
      </c>
      <c r="B3" s="48" t="s">
        <v>21</v>
      </c>
      <c r="C3" s="47" t="s">
        <v>22</v>
      </c>
      <c r="D3" s="49" t="s">
        <v>23</v>
      </c>
      <c r="E3" s="47" t="s">
        <v>17</v>
      </c>
      <c r="F3" s="50" t="str">
        <f>HYPERLINK("https://opramachine.com/alaveteli_pro/info_requests/request_for_fsmc_bid_and_scoring_29","Link")</f>
        <v>Link</v>
      </c>
      <c r="G3" s="51" t="s">
        <v>24</v>
      </c>
      <c r="H3" s="52">
        <v>46125</v>
      </c>
      <c r="I3" s="44">
        <f t="shared" si="0"/>
        <v>46134</v>
      </c>
      <c r="J3" s="53">
        <v>46127</v>
      </c>
      <c r="K3" s="54" t="s">
        <v>25</v>
      </c>
      <c r="L3" s="55"/>
      <c r="M3" s="56">
        <v>9750033.6199999992</v>
      </c>
    </row>
    <row r="4" spans="1:13" ht="15.75" customHeight="1" x14ac:dyDescent="0.2">
      <c r="A4" s="47" t="s">
        <v>26</v>
      </c>
      <c r="B4" s="48" t="s">
        <v>27</v>
      </c>
      <c r="C4" s="47" t="s">
        <v>28</v>
      </c>
      <c r="D4" s="49" t="s">
        <v>29</v>
      </c>
      <c r="E4" s="47" t="s">
        <v>17</v>
      </c>
      <c r="F4" s="57" t="s">
        <v>18</v>
      </c>
      <c r="G4" s="43" t="s">
        <v>19</v>
      </c>
      <c r="H4" s="52">
        <v>46125</v>
      </c>
      <c r="I4" s="44">
        <f t="shared" si="0"/>
        <v>46134</v>
      </c>
      <c r="J4" s="47"/>
      <c r="L4" s="55"/>
      <c r="M4" s="56">
        <v>8406748.8000000007</v>
      </c>
    </row>
    <row r="5" spans="1:13" ht="15.75" customHeight="1" x14ac:dyDescent="0.2">
      <c r="A5" s="39" t="s">
        <v>30</v>
      </c>
      <c r="B5" s="40" t="s">
        <v>31</v>
      </c>
      <c r="C5" s="39" t="s">
        <v>32</v>
      </c>
      <c r="D5" s="41" t="s">
        <v>33</v>
      </c>
      <c r="E5" s="39" t="s">
        <v>17</v>
      </c>
      <c r="F5" s="42" t="s">
        <v>18</v>
      </c>
      <c r="G5" s="43" t="s">
        <v>19</v>
      </c>
      <c r="H5" s="52">
        <v>46125</v>
      </c>
      <c r="I5" s="44">
        <f t="shared" si="0"/>
        <v>46134</v>
      </c>
      <c r="J5" s="39"/>
      <c r="L5" s="45"/>
      <c r="M5" s="46">
        <v>8159567.5499999998</v>
      </c>
    </row>
    <row r="6" spans="1:13" ht="15.75" customHeight="1" x14ac:dyDescent="0.2">
      <c r="A6" s="39" t="s">
        <v>34</v>
      </c>
      <c r="B6" s="40" t="s">
        <v>35</v>
      </c>
      <c r="C6" s="39" t="s">
        <v>36</v>
      </c>
      <c r="D6" s="41" t="s">
        <v>37</v>
      </c>
      <c r="E6" s="39" t="s">
        <v>17</v>
      </c>
      <c r="F6" s="42" t="s">
        <v>18</v>
      </c>
      <c r="G6" s="43" t="s">
        <v>19</v>
      </c>
      <c r="H6" s="52">
        <v>46125</v>
      </c>
      <c r="I6" s="44">
        <f t="shared" si="0"/>
        <v>46134</v>
      </c>
      <c r="J6" s="39"/>
      <c r="L6" s="45"/>
      <c r="M6" s="46">
        <v>7985781.46</v>
      </c>
    </row>
    <row r="7" spans="1:13" ht="15.75" customHeight="1" x14ac:dyDescent="0.2">
      <c r="A7" s="47" t="s">
        <v>38</v>
      </c>
      <c r="B7" s="48" t="s">
        <v>39</v>
      </c>
      <c r="C7" s="47" t="s">
        <v>40</v>
      </c>
      <c r="D7" s="49" t="s">
        <v>23</v>
      </c>
      <c r="E7" s="47" t="s">
        <v>17</v>
      </c>
      <c r="F7" s="57" t="s">
        <v>18</v>
      </c>
      <c r="G7" s="43" t="s">
        <v>19</v>
      </c>
      <c r="H7" s="47"/>
      <c r="I7" s="44" t="str">
        <f t="shared" si="0"/>
        <v/>
      </c>
      <c r="J7" s="47"/>
      <c r="L7" s="55"/>
      <c r="M7" s="56">
        <v>7790933.3799999999</v>
      </c>
    </row>
    <row r="8" spans="1:13" ht="15.75" customHeight="1" x14ac:dyDescent="0.2">
      <c r="A8" s="47" t="s">
        <v>41</v>
      </c>
      <c r="B8" s="48" t="s">
        <v>42</v>
      </c>
      <c r="C8" s="47" t="s">
        <v>40</v>
      </c>
      <c r="D8" s="49" t="s">
        <v>37</v>
      </c>
      <c r="E8" s="47" t="s">
        <v>17</v>
      </c>
      <c r="F8" s="57" t="s">
        <v>18</v>
      </c>
      <c r="G8" s="43" t="s">
        <v>19</v>
      </c>
      <c r="H8" s="47"/>
      <c r="I8" s="44" t="str">
        <f t="shared" si="0"/>
        <v/>
      </c>
      <c r="J8" s="47"/>
      <c r="L8" s="55"/>
      <c r="M8" s="56">
        <v>7335637.3899999997</v>
      </c>
    </row>
    <row r="9" spans="1:13" ht="15.75" customHeight="1" x14ac:dyDescent="0.2">
      <c r="A9" s="47" t="s">
        <v>43</v>
      </c>
      <c r="B9" s="48" t="s">
        <v>44</v>
      </c>
      <c r="C9" s="47" t="s">
        <v>40</v>
      </c>
      <c r="D9" s="49" t="s">
        <v>29</v>
      </c>
      <c r="E9" s="47" t="s">
        <v>17</v>
      </c>
      <c r="F9" s="57" t="s">
        <v>18</v>
      </c>
      <c r="G9" s="43" t="s">
        <v>19</v>
      </c>
      <c r="H9" s="47"/>
      <c r="I9" s="44" t="str">
        <f t="shared" si="0"/>
        <v/>
      </c>
      <c r="J9" s="47"/>
      <c r="L9" s="55"/>
      <c r="M9" s="56">
        <v>6727758.3499999996</v>
      </c>
    </row>
    <row r="10" spans="1:13" ht="15.75" customHeight="1" x14ac:dyDescent="0.2">
      <c r="A10" s="39" t="s">
        <v>45</v>
      </c>
      <c r="B10" s="40" t="s">
        <v>46</v>
      </c>
      <c r="C10" s="39" t="s">
        <v>32</v>
      </c>
      <c r="D10" s="41" t="s">
        <v>16</v>
      </c>
      <c r="E10" s="39" t="s">
        <v>17</v>
      </c>
      <c r="F10" s="58" t="s">
        <v>47</v>
      </c>
      <c r="G10" s="43" t="s">
        <v>19</v>
      </c>
      <c r="H10" s="39"/>
      <c r="I10" s="44" t="str">
        <f t="shared" si="0"/>
        <v/>
      </c>
      <c r="J10" s="39"/>
      <c r="L10" s="45"/>
      <c r="M10" s="46">
        <v>6400514.8799999999</v>
      </c>
    </row>
    <row r="11" spans="1:13" ht="15.75" customHeight="1" x14ac:dyDescent="0.2">
      <c r="A11" s="39" t="s">
        <v>48</v>
      </c>
      <c r="B11" s="40" t="s">
        <v>49</v>
      </c>
      <c r="C11" s="39" t="s">
        <v>50</v>
      </c>
      <c r="D11" s="41" t="s">
        <v>51</v>
      </c>
      <c r="E11" s="39" t="s">
        <v>17</v>
      </c>
      <c r="F11" s="42" t="s">
        <v>18</v>
      </c>
      <c r="G11" s="43" t="s">
        <v>19</v>
      </c>
      <c r="H11" s="39"/>
      <c r="I11" s="44" t="str">
        <f t="shared" si="0"/>
        <v/>
      </c>
      <c r="J11" s="39"/>
      <c r="L11" s="45"/>
      <c r="M11" s="46">
        <v>5911450</v>
      </c>
    </row>
    <row r="12" spans="1:13" ht="15.75" customHeight="1" x14ac:dyDescent="0.2">
      <c r="A12" s="47" t="s">
        <v>52</v>
      </c>
      <c r="B12" s="48" t="s">
        <v>53</v>
      </c>
      <c r="C12" s="47" t="s">
        <v>54</v>
      </c>
      <c r="D12" s="49" t="s">
        <v>23</v>
      </c>
      <c r="E12" s="47" t="s">
        <v>17</v>
      </c>
      <c r="F12" s="57" t="s">
        <v>18</v>
      </c>
      <c r="G12" s="43" t="s">
        <v>19</v>
      </c>
      <c r="H12" s="47"/>
      <c r="I12" s="44" t="str">
        <f t="shared" si="0"/>
        <v/>
      </c>
      <c r="J12" s="47"/>
      <c r="L12" s="55"/>
      <c r="M12" s="56">
        <v>5769881.0199999996</v>
      </c>
    </row>
    <row r="13" spans="1:13" ht="15.75" customHeight="1" x14ac:dyDescent="0.2">
      <c r="A13" s="47" t="s">
        <v>55</v>
      </c>
      <c r="B13" s="48" t="s">
        <v>56</v>
      </c>
      <c r="C13" s="47" t="s">
        <v>22</v>
      </c>
      <c r="D13" s="49" t="s">
        <v>37</v>
      </c>
      <c r="E13" s="47" t="s">
        <v>17</v>
      </c>
      <c r="F13" s="57" t="s">
        <v>18</v>
      </c>
      <c r="G13" s="43" t="s">
        <v>19</v>
      </c>
      <c r="H13" s="47"/>
      <c r="I13" s="44" t="str">
        <f t="shared" si="0"/>
        <v/>
      </c>
      <c r="J13" s="47"/>
      <c r="L13" s="55"/>
      <c r="M13" s="56">
        <v>5070518.8099999996</v>
      </c>
    </row>
    <row r="14" spans="1:13" ht="15.75" customHeight="1" x14ac:dyDescent="0.2">
      <c r="A14" s="47" t="s">
        <v>57</v>
      </c>
      <c r="B14" s="48" t="s">
        <v>58</v>
      </c>
      <c r="C14" s="47" t="s">
        <v>59</v>
      </c>
      <c r="D14" s="49" t="s">
        <v>51</v>
      </c>
      <c r="E14" s="47" t="s">
        <v>17</v>
      </c>
      <c r="F14" s="57" t="s">
        <v>18</v>
      </c>
      <c r="G14" s="43" t="s">
        <v>19</v>
      </c>
      <c r="H14" s="52">
        <v>46125</v>
      </c>
      <c r="I14" s="44">
        <f t="shared" si="0"/>
        <v>46134</v>
      </c>
      <c r="J14" s="47"/>
      <c r="L14" s="55"/>
      <c r="M14" s="56">
        <v>4327698</v>
      </c>
    </row>
    <row r="15" spans="1:13" ht="15.75" customHeight="1" x14ac:dyDescent="0.2">
      <c r="A15" s="47" t="s">
        <v>60</v>
      </c>
      <c r="B15" s="48" t="s">
        <v>61</v>
      </c>
      <c r="C15" s="47" t="s">
        <v>62</v>
      </c>
      <c r="D15" s="49" t="s">
        <v>37</v>
      </c>
      <c r="E15" s="47" t="s">
        <v>17</v>
      </c>
      <c r="F15" s="57" t="s">
        <v>18</v>
      </c>
      <c r="G15" s="43" t="s">
        <v>19</v>
      </c>
      <c r="H15" s="47"/>
      <c r="I15" s="44" t="str">
        <f t="shared" si="0"/>
        <v/>
      </c>
      <c r="J15" s="47"/>
      <c r="L15" s="55"/>
      <c r="M15" s="56">
        <v>4184306.33</v>
      </c>
    </row>
    <row r="16" spans="1:13" ht="15.75" customHeight="1" x14ac:dyDescent="0.2">
      <c r="A16" s="47" t="s">
        <v>63</v>
      </c>
      <c r="B16" s="48" t="s">
        <v>64</v>
      </c>
      <c r="C16" s="47" t="s">
        <v>32</v>
      </c>
      <c r="D16" s="49" t="s">
        <v>37</v>
      </c>
      <c r="E16" s="47" t="s">
        <v>17</v>
      </c>
      <c r="F16" s="57" t="s">
        <v>18</v>
      </c>
      <c r="G16" s="43" t="s">
        <v>19</v>
      </c>
      <c r="H16" s="47"/>
      <c r="I16" s="44" t="str">
        <f t="shared" si="0"/>
        <v/>
      </c>
      <c r="J16" s="47"/>
      <c r="L16" s="55"/>
      <c r="M16" s="56">
        <v>4021587.6</v>
      </c>
    </row>
    <row r="17" spans="1:13" ht="15.75" customHeight="1" x14ac:dyDescent="0.2">
      <c r="A17" s="39" t="s">
        <v>65</v>
      </c>
      <c r="B17" s="40" t="s">
        <v>66</v>
      </c>
      <c r="C17" s="39" t="s">
        <v>36</v>
      </c>
      <c r="D17" s="41" t="s">
        <v>29</v>
      </c>
      <c r="E17" s="39" t="s">
        <v>17</v>
      </c>
      <c r="F17" s="42" t="s">
        <v>18</v>
      </c>
      <c r="G17" s="43" t="s">
        <v>19</v>
      </c>
      <c r="H17" s="39"/>
      <c r="I17" s="44" t="str">
        <f t="shared" si="0"/>
        <v/>
      </c>
      <c r="J17" s="39"/>
      <c r="L17" s="45"/>
      <c r="M17" s="46">
        <v>3953459.87</v>
      </c>
    </row>
    <row r="18" spans="1:13" ht="15.75" customHeight="1" x14ac:dyDescent="0.2">
      <c r="A18" s="47" t="s">
        <v>67</v>
      </c>
      <c r="B18" s="48" t="s">
        <v>68</v>
      </c>
      <c r="C18" s="47" t="s">
        <v>36</v>
      </c>
      <c r="D18" s="49" t="s">
        <v>29</v>
      </c>
      <c r="E18" s="47" t="s">
        <v>17</v>
      </c>
      <c r="F18" s="57" t="s">
        <v>18</v>
      </c>
      <c r="G18" s="43" t="s">
        <v>19</v>
      </c>
      <c r="H18" s="47"/>
      <c r="I18" s="44" t="str">
        <f t="shared" si="0"/>
        <v/>
      </c>
      <c r="J18" s="47"/>
      <c r="L18" s="55"/>
      <c r="M18" s="56">
        <v>3728937.08</v>
      </c>
    </row>
    <row r="19" spans="1:13" ht="15.75" customHeight="1" x14ac:dyDescent="0.2">
      <c r="A19" s="47" t="s">
        <v>69</v>
      </c>
      <c r="B19" s="48" t="s">
        <v>70</v>
      </c>
      <c r="C19" s="47" t="s">
        <v>62</v>
      </c>
      <c r="D19" s="49" t="s">
        <v>37</v>
      </c>
      <c r="E19" s="47" t="s">
        <v>17</v>
      </c>
      <c r="F19" s="57" t="s">
        <v>18</v>
      </c>
      <c r="G19" s="43" t="s">
        <v>19</v>
      </c>
      <c r="H19" s="47"/>
      <c r="I19" s="44" t="str">
        <f t="shared" si="0"/>
        <v/>
      </c>
      <c r="J19" s="47"/>
      <c r="L19" s="55"/>
      <c r="M19" s="56">
        <v>3707875.21</v>
      </c>
    </row>
    <row r="20" spans="1:13" ht="15.75" customHeight="1" x14ac:dyDescent="0.2">
      <c r="A20" s="47" t="s">
        <v>71</v>
      </c>
      <c r="B20" s="48" t="s">
        <v>72</v>
      </c>
      <c r="C20" s="47" t="s">
        <v>40</v>
      </c>
      <c r="D20" s="49" t="s">
        <v>16</v>
      </c>
      <c r="E20" s="47" t="s">
        <v>17</v>
      </c>
      <c r="F20" s="57" t="s">
        <v>18</v>
      </c>
      <c r="G20" s="43" t="s">
        <v>19</v>
      </c>
      <c r="H20" s="47"/>
      <c r="I20" s="44" t="str">
        <f t="shared" si="0"/>
        <v/>
      </c>
      <c r="J20" s="47"/>
      <c r="L20" s="55"/>
      <c r="M20" s="56">
        <v>3638632.23</v>
      </c>
    </row>
    <row r="21" spans="1:13" ht="15.75" customHeight="1" x14ac:dyDescent="0.2">
      <c r="A21" s="47" t="s">
        <v>73</v>
      </c>
      <c r="B21" s="48" t="s">
        <v>74</v>
      </c>
      <c r="C21" s="47" t="s">
        <v>75</v>
      </c>
      <c r="D21" s="49" t="s">
        <v>51</v>
      </c>
      <c r="E21" s="47" t="s">
        <v>17</v>
      </c>
      <c r="F21" s="57" t="s">
        <v>18</v>
      </c>
      <c r="G21" s="43" t="s">
        <v>19</v>
      </c>
      <c r="H21" s="52">
        <v>46125</v>
      </c>
      <c r="I21" s="44">
        <f t="shared" si="0"/>
        <v>46134</v>
      </c>
      <c r="J21" s="47"/>
      <c r="L21" s="55"/>
      <c r="M21" s="56">
        <v>3622299.66</v>
      </c>
    </row>
    <row r="22" spans="1:13" ht="15.75" customHeight="1" x14ac:dyDescent="0.2">
      <c r="A22" s="47" t="s">
        <v>76</v>
      </c>
      <c r="B22" s="48" t="s">
        <v>77</v>
      </c>
      <c r="C22" s="47" t="s">
        <v>40</v>
      </c>
      <c r="D22" s="49" t="s">
        <v>37</v>
      </c>
      <c r="E22" s="47" t="s">
        <v>17</v>
      </c>
      <c r="F22" s="57" t="s">
        <v>18</v>
      </c>
      <c r="G22" s="43" t="s">
        <v>19</v>
      </c>
      <c r="H22" s="47"/>
      <c r="I22" s="44" t="str">
        <f t="shared" si="0"/>
        <v/>
      </c>
      <c r="J22" s="47"/>
      <c r="L22" s="55"/>
      <c r="M22" s="56">
        <v>3585200.37</v>
      </c>
    </row>
    <row r="23" spans="1:13" ht="15.75" customHeight="1" x14ac:dyDescent="0.2">
      <c r="A23" s="47" t="s">
        <v>78</v>
      </c>
      <c r="B23" s="48" t="s">
        <v>79</v>
      </c>
      <c r="C23" s="47" t="s">
        <v>80</v>
      </c>
      <c r="D23" s="49" t="s">
        <v>37</v>
      </c>
      <c r="E23" s="47" t="s">
        <v>17</v>
      </c>
      <c r="F23" s="57" t="s">
        <v>18</v>
      </c>
      <c r="G23" s="43" t="s">
        <v>19</v>
      </c>
      <c r="H23" s="47"/>
      <c r="I23" s="44" t="str">
        <f t="shared" si="0"/>
        <v/>
      </c>
      <c r="J23" s="47"/>
      <c r="L23" s="55"/>
      <c r="M23" s="56">
        <v>3575897.28</v>
      </c>
    </row>
    <row r="24" spans="1:13" ht="15.75" customHeight="1" x14ac:dyDescent="0.2">
      <c r="A24" s="47" t="s">
        <v>81</v>
      </c>
      <c r="B24" s="48" t="s">
        <v>82</v>
      </c>
      <c r="C24" s="47" t="s">
        <v>15</v>
      </c>
      <c r="D24" s="49" t="s">
        <v>83</v>
      </c>
      <c r="E24" s="47" t="s">
        <v>17</v>
      </c>
      <c r="F24" s="59" t="s">
        <v>47</v>
      </c>
      <c r="G24" s="43" t="s">
        <v>19</v>
      </c>
      <c r="H24" s="47"/>
      <c r="I24" s="44" t="str">
        <f t="shared" si="0"/>
        <v/>
      </c>
      <c r="J24" s="47"/>
      <c r="L24" s="55"/>
      <c r="M24" s="56">
        <v>3492486.12</v>
      </c>
    </row>
    <row r="25" spans="1:13" ht="15.75" customHeight="1" x14ac:dyDescent="0.2">
      <c r="A25" s="47" t="s">
        <v>84</v>
      </c>
      <c r="B25" s="48" t="s">
        <v>85</v>
      </c>
      <c r="C25" s="47" t="s">
        <v>28</v>
      </c>
      <c r="D25" s="49" t="s">
        <v>37</v>
      </c>
      <c r="E25" s="47" t="s">
        <v>17</v>
      </c>
      <c r="F25" s="57" t="s">
        <v>18</v>
      </c>
      <c r="G25" s="43" t="s">
        <v>19</v>
      </c>
      <c r="H25" s="47"/>
      <c r="I25" s="44" t="str">
        <f t="shared" si="0"/>
        <v/>
      </c>
      <c r="J25" s="47"/>
      <c r="L25" s="55"/>
      <c r="M25" s="56">
        <v>3456808.53</v>
      </c>
    </row>
    <row r="26" spans="1:13" ht="15.75" customHeight="1" x14ac:dyDescent="0.2">
      <c r="A26" s="39" t="s">
        <v>86</v>
      </c>
      <c r="B26" s="40" t="s">
        <v>87</v>
      </c>
      <c r="C26" s="39" t="s">
        <v>40</v>
      </c>
      <c r="D26" s="41" t="s">
        <v>23</v>
      </c>
      <c r="E26" s="39" t="s">
        <v>17</v>
      </c>
      <c r="F26" s="42" t="s">
        <v>18</v>
      </c>
      <c r="G26" s="43" t="s">
        <v>19</v>
      </c>
      <c r="H26" s="39"/>
      <c r="I26" s="44" t="str">
        <f t="shared" si="0"/>
        <v/>
      </c>
      <c r="J26" s="39"/>
      <c r="L26" s="45"/>
      <c r="M26" s="46">
        <v>3337492.24</v>
      </c>
    </row>
    <row r="27" spans="1:13" ht="15.75" customHeight="1" x14ac:dyDescent="0.2">
      <c r="A27" s="39" t="s">
        <v>88</v>
      </c>
      <c r="B27" s="40" t="s">
        <v>89</v>
      </c>
      <c r="C27" s="39" t="s">
        <v>32</v>
      </c>
      <c r="D27" s="41" t="s">
        <v>37</v>
      </c>
      <c r="E27" s="39" t="s">
        <v>17</v>
      </c>
      <c r="F27" s="58" t="s">
        <v>47</v>
      </c>
      <c r="G27" s="43" t="s">
        <v>19</v>
      </c>
      <c r="H27" s="39"/>
      <c r="I27" s="44" t="str">
        <f t="shared" si="0"/>
        <v/>
      </c>
      <c r="J27" s="39"/>
      <c r="L27" s="45"/>
      <c r="M27" s="46">
        <v>3285797.77</v>
      </c>
    </row>
    <row r="28" spans="1:13" ht="15.75" customHeight="1" x14ac:dyDescent="0.2">
      <c r="A28" s="39" t="s">
        <v>90</v>
      </c>
      <c r="B28" s="40" t="s">
        <v>91</v>
      </c>
      <c r="C28" s="39" t="s">
        <v>92</v>
      </c>
      <c r="D28" s="41" t="s">
        <v>23</v>
      </c>
      <c r="E28" s="39" t="s">
        <v>17</v>
      </c>
      <c r="F28" s="42" t="s">
        <v>18</v>
      </c>
      <c r="G28" s="43" t="s">
        <v>19</v>
      </c>
      <c r="H28" s="39"/>
      <c r="I28" s="44" t="str">
        <f t="shared" si="0"/>
        <v/>
      </c>
      <c r="J28" s="39"/>
      <c r="L28" s="45"/>
      <c r="M28" s="46">
        <v>3209685.79</v>
      </c>
    </row>
    <row r="29" spans="1:13" ht="15.75" customHeight="1" x14ac:dyDescent="0.2">
      <c r="A29" s="47" t="s">
        <v>93</v>
      </c>
      <c r="B29" s="48" t="s">
        <v>94</v>
      </c>
      <c r="C29" s="47" t="s">
        <v>40</v>
      </c>
      <c r="D29" s="49" t="s">
        <v>16</v>
      </c>
      <c r="E29" s="47" t="s">
        <v>17</v>
      </c>
      <c r="F29" s="57" t="s">
        <v>18</v>
      </c>
      <c r="G29" s="43" t="s">
        <v>19</v>
      </c>
      <c r="H29" s="47"/>
      <c r="I29" s="44" t="str">
        <f t="shared" si="0"/>
        <v/>
      </c>
      <c r="J29" s="47"/>
      <c r="L29" s="55"/>
      <c r="M29" s="56">
        <v>3065799.51</v>
      </c>
    </row>
    <row r="30" spans="1:13" ht="15.75" customHeight="1" x14ac:dyDescent="0.2">
      <c r="A30" s="47" t="s">
        <v>95</v>
      </c>
      <c r="B30" s="48" t="s">
        <v>96</v>
      </c>
      <c r="C30" s="47" t="s">
        <v>40</v>
      </c>
      <c r="D30" s="49" t="s">
        <v>97</v>
      </c>
      <c r="E30" s="47" t="s">
        <v>17</v>
      </c>
      <c r="F30" s="59" t="s">
        <v>47</v>
      </c>
      <c r="G30" s="43" t="s">
        <v>19</v>
      </c>
      <c r="H30" s="47"/>
      <c r="I30" s="44" t="str">
        <f t="shared" si="0"/>
        <v/>
      </c>
      <c r="J30" s="47"/>
      <c r="L30" s="55"/>
      <c r="M30" s="56">
        <v>3056825.71</v>
      </c>
    </row>
    <row r="31" spans="1:13" ht="15.75" customHeight="1" x14ac:dyDescent="0.2">
      <c r="A31" s="39" t="s">
        <v>98</v>
      </c>
      <c r="B31" s="40" t="s">
        <v>99</v>
      </c>
      <c r="C31" s="39" t="s">
        <v>15</v>
      </c>
      <c r="D31" s="41" t="s">
        <v>29</v>
      </c>
      <c r="E31" s="39" t="s">
        <v>17</v>
      </c>
      <c r="F31" s="58" t="s">
        <v>47</v>
      </c>
      <c r="G31" s="43" t="s">
        <v>19</v>
      </c>
      <c r="H31" s="39"/>
      <c r="I31" s="44" t="str">
        <f t="shared" si="0"/>
        <v/>
      </c>
      <c r="J31" s="39"/>
      <c r="L31" s="45"/>
      <c r="M31" s="46">
        <v>2902874.91</v>
      </c>
    </row>
    <row r="32" spans="1:13" ht="15.75" customHeight="1" x14ac:dyDescent="0.2">
      <c r="A32" s="39" t="s">
        <v>100</v>
      </c>
      <c r="B32" s="40" t="s">
        <v>101</v>
      </c>
      <c r="C32" s="39" t="s">
        <v>75</v>
      </c>
      <c r="D32" s="41" t="s">
        <v>29</v>
      </c>
      <c r="E32" s="39" t="s">
        <v>17</v>
      </c>
      <c r="F32" s="58" t="s">
        <v>47</v>
      </c>
      <c r="G32" s="43" t="s">
        <v>19</v>
      </c>
      <c r="H32" s="39"/>
      <c r="I32" s="44" t="str">
        <f t="shared" si="0"/>
        <v/>
      </c>
      <c r="J32" s="39"/>
      <c r="L32" s="45"/>
      <c r="M32" s="46">
        <v>2900596.94</v>
      </c>
    </row>
    <row r="33" spans="1:13" ht="15.75" customHeight="1" x14ac:dyDescent="0.2">
      <c r="A33" s="39" t="s">
        <v>102</v>
      </c>
      <c r="B33" s="40" t="s">
        <v>103</v>
      </c>
      <c r="C33" s="39" t="s">
        <v>40</v>
      </c>
      <c r="D33" s="41" t="s">
        <v>29</v>
      </c>
      <c r="E33" s="39" t="s">
        <v>17</v>
      </c>
      <c r="F33" s="42" t="s">
        <v>18</v>
      </c>
      <c r="G33" s="43" t="s">
        <v>19</v>
      </c>
      <c r="H33" s="39"/>
      <c r="I33" s="44" t="str">
        <f t="shared" si="0"/>
        <v/>
      </c>
      <c r="J33" s="39"/>
      <c r="L33" s="45"/>
      <c r="M33" s="46">
        <v>2896445.24</v>
      </c>
    </row>
    <row r="34" spans="1:13" ht="15.75" customHeight="1" x14ac:dyDescent="0.2">
      <c r="A34" s="47" t="s">
        <v>104</v>
      </c>
      <c r="B34" s="48" t="s">
        <v>105</v>
      </c>
      <c r="C34" s="47" t="s">
        <v>106</v>
      </c>
      <c r="D34" s="49" t="s">
        <v>29</v>
      </c>
      <c r="E34" s="47" t="s">
        <v>17</v>
      </c>
      <c r="F34" s="57" t="s">
        <v>18</v>
      </c>
      <c r="G34" s="43" t="s">
        <v>19</v>
      </c>
      <c r="H34" s="47"/>
      <c r="I34" s="44" t="str">
        <f t="shared" si="0"/>
        <v/>
      </c>
      <c r="J34" s="47"/>
      <c r="L34" s="55"/>
      <c r="M34" s="56">
        <v>2833914.37</v>
      </c>
    </row>
    <row r="35" spans="1:13" ht="15.75" customHeight="1" x14ac:dyDescent="0.2">
      <c r="A35" s="39" t="s">
        <v>107</v>
      </c>
      <c r="B35" s="40" t="s">
        <v>108</v>
      </c>
      <c r="C35" s="39" t="s">
        <v>92</v>
      </c>
      <c r="D35" s="41" t="s">
        <v>51</v>
      </c>
      <c r="E35" s="39" t="s">
        <v>109</v>
      </c>
      <c r="F35" s="58" t="s">
        <v>47</v>
      </c>
      <c r="G35" s="43" t="s">
        <v>19</v>
      </c>
      <c r="H35" s="39"/>
      <c r="I35" s="44" t="str">
        <f t="shared" si="0"/>
        <v/>
      </c>
      <c r="J35" s="39"/>
      <c r="L35" s="45"/>
      <c r="M35" s="46">
        <v>2806162.94</v>
      </c>
    </row>
    <row r="36" spans="1:13" ht="15.75" customHeight="1" x14ac:dyDescent="0.2">
      <c r="A36" s="39" t="s">
        <v>110</v>
      </c>
      <c r="B36" s="40" t="s">
        <v>111</v>
      </c>
      <c r="C36" s="39" t="s">
        <v>80</v>
      </c>
      <c r="D36" s="41" t="s">
        <v>51</v>
      </c>
      <c r="E36" s="39" t="s">
        <v>17</v>
      </c>
      <c r="F36" s="58" t="s">
        <v>47</v>
      </c>
      <c r="G36" s="43" t="s">
        <v>19</v>
      </c>
      <c r="H36" s="39"/>
      <c r="I36" s="44" t="str">
        <f t="shared" si="0"/>
        <v/>
      </c>
      <c r="J36" s="39"/>
      <c r="L36" s="45"/>
      <c r="M36" s="46">
        <v>2694024.65</v>
      </c>
    </row>
    <row r="37" spans="1:13" ht="15.75" customHeight="1" x14ac:dyDescent="0.2">
      <c r="A37" s="47" t="s">
        <v>112</v>
      </c>
      <c r="B37" s="48" t="s">
        <v>113</v>
      </c>
      <c r="C37" s="47" t="s">
        <v>75</v>
      </c>
      <c r="D37" s="49" t="s">
        <v>114</v>
      </c>
      <c r="E37" s="47" t="s">
        <v>17</v>
      </c>
      <c r="F37" s="59" t="s">
        <v>47</v>
      </c>
      <c r="G37" s="43" t="s">
        <v>19</v>
      </c>
      <c r="H37" s="47"/>
      <c r="I37" s="44" t="str">
        <f t="shared" si="0"/>
        <v/>
      </c>
      <c r="J37" s="47"/>
      <c r="L37" s="55"/>
      <c r="M37" s="56">
        <v>2664663.17</v>
      </c>
    </row>
    <row r="38" spans="1:13" ht="15.75" customHeight="1" x14ac:dyDescent="0.2">
      <c r="A38" s="39" t="s">
        <v>115</v>
      </c>
      <c r="B38" s="40" t="s">
        <v>116</v>
      </c>
      <c r="C38" s="39" t="s">
        <v>32</v>
      </c>
      <c r="D38" s="41" t="s">
        <v>37</v>
      </c>
      <c r="E38" s="39" t="s">
        <v>17</v>
      </c>
      <c r="F38" s="58" t="s">
        <v>47</v>
      </c>
      <c r="G38" s="43" t="s">
        <v>19</v>
      </c>
      <c r="H38" s="39"/>
      <c r="I38" s="44" t="str">
        <f t="shared" si="0"/>
        <v/>
      </c>
      <c r="J38" s="39"/>
      <c r="L38" s="45"/>
      <c r="M38" s="46">
        <v>2663845</v>
      </c>
    </row>
    <row r="39" spans="1:13" ht="15.75" customHeight="1" x14ac:dyDescent="0.2">
      <c r="A39" s="47" t="s">
        <v>117</v>
      </c>
      <c r="B39" s="48" t="s">
        <v>118</v>
      </c>
      <c r="C39" s="47" t="s">
        <v>106</v>
      </c>
      <c r="D39" s="49" t="s">
        <v>29</v>
      </c>
      <c r="E39" s="47" t="s">
        <v>17</v>
      </c>
      <c r="F39" s="59" t="s">
        <v>47</v>
      </c>
      <c r="G39" s="43" t="s">
        <v>19</v>
      </c>
      <c r="H39" s="47"/>
      <c r="I39" s="44" t="str">
        <f t="shared" si="0"/>
        <v/>
      </c>
      <c r="J39" s="47"/>
      <c r="L39" s="55"/>
      <c r="M39" s="56">
        <v>2643967.94</v>
      </c>
    </row>
    <row r="40" spans="1:13" ht="15.75" customHeight="1" x14ac:dyDescent="0.2">
      <c r="A40" s="39" t="s">
        <v>119</v>
      </c>
      <c r="B40" s="40" t="s">
        <v>120</v>
      </c>
      <c r="C40" s="39" t="s">
        <v>121</v>
      </c>
      <c r="D40" s="41" t="s">
        <v>37</v>
      </c>
      <c r="E40" s="39" t="s">
        <v>17</v>
      </c>
      <c r="F40" s="58" t="s">
        <v>47</v>
      </c>
      <c r="G40" s="43" t="s">
        <v>19</v>
      </c>
      <c r="H40" s="39"/>
      <c r="I40" s="44" t="str">
        <f t="shared" si="0"/>
        <v/>
      </c>
      <c r="J40" s="39"/>
      <c r="L40" s="45"/>
      <c r="M40" s="46">
        <v>2589626.31</v>
      </c>
    </row>
    <row r="41" spans="1:13" ht="15.75" customHeight="1" x14ac:dyDescent="0.2">
      <c r="A41" s="47" t="s">
        <v>122</v>
      </c>
      <c r="B41" s="48" t="s">
        <v>123</v>
      </c>
      <c r="C41" s="47" t="s">
        <v>106</v>
      </c>
      <c r="D41" s="49" t="s">
        <v>114</v>
      </c>
      <c r="E41" s="47" t="s">
        <v>17</v>
      </c>
      <c r="F41" s="57" t="s">
        <v>18</v>
      </c>
      <c r="G41" s="43" t="s">
        <v>19</v>
      </c>
      <c r="H41" s="47"/>
      <c r="I41" s="44" t="str">
        <f t="shared" si="0"/>
        <v/>
      </c>
      <c r="J41" s="47"/>
      <c r="L41" s="55"/>
      <c r="M41" s="56">
        <v>2575868.61</v>
      </c>
    </row>
    <row r="42" spans="1:13" ht="15.75" customHeight="1" x14ac:dyDescent="0.2">
      <c r="A42" s="47" t="s">
        <v>124</v>
      </c>
      <c r="B42" s="48" t="s">
        <v>125</v>
      </c>
      <c r="C42" s="47" t="s">
        <v>54</v>
      </c>
      <c r="D42" s="49" t="s">
        <v>126</v>
      </c>
      <c r="E42" s="47" t="s">
        <v>17</v>
      </c>
      <c r="F42" s="57" t="s">
        <v>18</v>
      </c>
      <c r="G42" s="43" t="s">
        <v>19</v>
      </c>
      <c r="H42" s="47"/>
      <c r="I42" s="44" t="str">
        <f t="shared" si="0"/>
        <v/>
      </c>
      <c r="J42" s="47"/>
      <c r="L42" s="55"/>
      <c r="M42" s="56">
        <v>2572431.5</v>
      </c>
    </row>
    <row r="43" spans="1:13" ht="15.75" customHeight="1" x14ac:dyDescent="0.2">
      <c r="A43" s="39" t="s">
        <v>127</v>
      </c>
      <c r="B43" s="40" t="s">
        <v>128</v>
      </c>
      <c r="C43" s="39" t="s">
        <v>36</v>
      </c>
      <c r="D43" s="41" t="s">
        <v>29</v>
      </c>
      <c r="E43" s="39" t="s">
        <v>17</v>
      </c>
      <c r="F43" s="58" t="s">
        <v>47</v>
      </c>
      <c r="G43" s="43" t="s">
        <v>19</v>
      </c>
      <c r="H43" s="39"/>
      <c r="I43" s="44" t="str">
        <f t="shared" si="0"/>
        <v/>
      </c>
      <c r="J43" s="39"/>
      <c r="L43" s="45"/>
      <c r="M43" s="46">
        <v>2568335.0699999998</v>
      </c>
    </row>
    <row r="44" spans="1:13" ht="15.75" customHeight="1" x14ac:dyDescent="0.2">
      <c r="A44" s="39" t="s">
        <v>129</v>
      </c>
      <c r="B44" s="40" t="s">
        <v>96</v>
      </c>
      <c r="C44" s="39" t="s">
        <v>130</v>
      </c>
      <c r="D44" s="41" t="s">
        <v>16</v>
      </c>
      <c r="E44" s="39" t="s">
        <v>17</v>
      </c>
      <c r="F44" s="58" t="s">
        <v>47</v>
      </c>
      <c r="G44" s="43" t="s">
        <v>19</v>
      </c>
      <c r="H44" s="39"/>
      <c r="I44" s="44" t="str">
        <f t="shared" si="0"/>
        <v/>
      </c>
      <c r="J44" s="39"/>
      <c r="L44" s="45"/>
      <c r="M44" s="46">
        <v>2555424.2400000002</v>
      </c>
    </row>
    <row r="45" spans="1:13" ht="15.75" customHeight="1" x14ac:dyDescent="0.2">
      <c r="A45" s="39" t="s">
        <v>131</v>
      </c>
      <c r="B45" s="40" t="s">
        <v>132</v>
      </c>
      <c r="C45" s="39" t="s">
        <v>32</v>
      </c>
      <c r="D45" s="41" t="s">
        <v>29</v>
      </c>
      <c r="E45" s="39" t="s">
        <v>17</v>
      </c>
      <c r="F45" s="42" t="s">
        <v>18</v>
      </c>
      <c r="G45" s="43" t="s">
        <v>19</v>
      </c>
      <c r="H45" s="39"/>
      <c r="I45" s="44" t="str">
        <f t="shared" si="0"/>
        <v/>
      </c>
      <c r="J45" s="39"/>
      <c r="L45" s="45"/>
      <c r="M45" s="46">
        <v>2529023.31</v>
      </c>
    </row>
    <row r="46" spans="1:13" ht="15.75" customHeight="1" x14ac:dyDescent="0.2">
      <c r="A46" s="39" t="s">
        <v>133</v>
      </c>
      <c r="B46" s="40" t="s">
        <v>134</v>
      </c>
      <c r="C46" s="39" t="s">
        <v>22</v>
      </c>
      <c r="D46" s="41" t="s">
        <v>135</v>
      </c>
      <c r="E46" s="39" t="s">
        <v>17</v>
      </c>
      <c r="F46" s="58" t="s">
        <v>47</v>
      </c>
      <c r="G46" s="43" t="s">
        <v>19</v>
      </c>
      <c r="H46" s="39"/>
      <c r="I46" s="44" t="str">
        <f t="shared" si="0"/>
        <v/>
      </c>
      <c r="J46" s="39"/>
      <c r="L46" s="45"/>
      <c r="M46" s="46">
        <v>2509201.83</v>
      </c>
    </row>
    <row r="47" spans="1:13" ht="15.75" customHeight="1" x14ac:dyDescent="0.2">
      <c r="A47" s="39" t="s">
        <v>136</v>
      </c>
      <c r="B47" s="40" t="s">
        <v>137</v>
      </c>
      <c r="C47" s="39" t="s">
        <v>138</v>
      </c>
      <c r="D47" s="41" t="s">
        <v>23</v>
      </c>
      <c r="E47" s="39" t="s">
        <v>17</v>
      </c>
      <c r="F47" s="58" t="s">
        <v>47</v>
      </c>
      <c r="G47" s="43" t="s">
        <v>19</v>
      </c>
      <c r="H47" s="39"/>
      <c r="I47" s="44" t="str">
        <f t="shared" si="0"/>
        <v/>
      </c>
      <c r="J47" s="39"/>
      <c r="L47" s="45"/>
      <c r="M47" s="46">
        <v>2491641.38</v>
      </c>
    </row>
    <row r="48" spans="1:13" ht="15.75" customHeight="1" x14ac:dyDescent="0.2">
      <c r="A48" s="47" t="s">
        <v>139</v>
      </c>
      <c r="B48" s="48" t="s">
        <v>140</v>
      </c>
      <c r="C48" s="47" t="s">
        <v>36</v>
      </c>
      <c r="D48" s="49" t="s">
        <v>37</v>
      </c>
      <c r="E48" s="47" t="s">
        <v>17</v>
      </c>
      <c r="F48" s="59" t="s">
        <v>47</v>
      </c>
      <c r="G48" s="43" t="s">
        <v>19</v>
      </c>
      <c r="H48" s="47"/>
      <c r="I48" s="44" t="str">
        <f t="shared" si="0"/>
        <v/>
      </c>
      <c r="J48" s="47"/>
      <c r="L48" s="55"/>
      <c r="M48" s="56">
        <v>2363043.79</v>
      </c>
    </row>
    <row r="49" spans="1:13" ht="15.75" customHeight="1" x14ac:dyDescent="0.2">
      <c r="A49" s="39" t="s">
        <v>141</v>
      </c>
      <c r="B49" s="40" t="s">
        <v>142</v>
      </c>
      <c r="C49" s="39" t="s">
        <v>22</v>
      </c>
      <c r="D49" s="41" t="s">
        <v>16</v>
      </c>
      <c r="E49" s="39" t="s">
        <v>17</v>
      </c>
      <c r="F49" s="42" t="s">
        <v>18</v>
      </c>
      <c r="G49" s="43" t="s">
        <v>19</v>
      </c>
      <c r="H49" s="39"/>
      <c r="I49" s="44" t="str">
        <f t="shared" si="0"/>
        <v/>
      </c>
      <c r="J49" s="39"/>
      <c r="L49" s="45"/>
      <c r="M49" s="46">
        <v>2351918.5099999998</v>
      </c>
    </row>
    <row r="50" spans="1:13" ht="15.75" customHeight="1" x14ac:dyDescent="0.2">
      <c r="A50" s="39" t="s">
        <v>143</v>
      </c>
      <c r="B50" s="40" t="s">
        <v>144</v>
      </c>
      <c r="C50" s="39" t="s">
        <v>92</v>
      </c>
      <c r="D50" s="41" t="s">
        <v>126</v>
      </c>
      <c r="E50" s="39" t="s">
        <v>17</v>
      </c>
      <c r="F50" s="58" t="s">
        <v>47</v>
      </c>
      <c r="G50" s="43" t="s">
        <v>19</v>
      </c>
      <c r="H50" s="39"/>
      <c r="I50" s="44" t="str">
        <f t="shared" si="0"/>
        <v/>
      </c>
      <c r="J50" s="39"/>
      <c r="L50" s="45"/>
      <c r="M50" s="46">
        <v>2326801.41</v>
      </c>
    </row>
    <row r="51" spans="1:13" ht="15.75" customHeight="1" x14ac:dyDescent="0.2">
      <c r="A51" s="39" t="s">
        <v>145</v>
      </c>
      <c r="B51" s="40" t="s">
        <v>146</v>
      </c>
      <c r="C51" s="39" t="s">
        <v>80</v>
      </c>
      <c r="D51" s="41" t="s">
        <v>37</v>
      </c>
      <c r="E51" s="39" t="s">
        <v>17</v>
      </c>
      <c r="F51" s="42" t="s">
        <v>18</v>
      </c>
      <c r="G51" s="43" t="s">
        <v>19</v>
      </c>
      <c r="H51" s="39"/>
      <c r="I51" s="44" t="str">
        <f t="shared" si="0"/>
        <v/>
      </c>
      <c r="J51" s="39"/>
      <c r="L51" s="45"/>
      <c r="M51" s="46">
        <v>2325353.67</v>
      </c>
    </row>
    <row r="52" spans="1:13" ht="15.75" customHeight="1" x14ac:dyDescent="0.2">
      <c r="A52" s="39" t="s">
        <v>147</v>
      </c>
      <c r="B52" s="40" t="s">
        <v>148</v>
      </c>
      <c r="C52" s="39" t="s">
        <v>40</v>
      </c>
      <c r="D52" s="41" t="s">
        <v>37</v>
      </c>
      <c r="E52" s="39" t="s">
        <v>17</v>
      </c>
      <c r="F52" s="58" t="s">
        <v>47</v>
      </c>
      <c r="G52" s="43" t="s">
        <v>19</v>
      </c>
      <c r="H52" s="39"/>
      <c r="I52" s="44" t="str">
        <f t="shared" si="0"/>
        <v/>
      </c>
      <c r="J52" s="39"/>
      <c r="L52" s="45"/>
      <c r="M52" s="46">
        <v>2318755</v>
      </c>
    </row>
    <row r="53" spans="1:13" ht="15.75" customHeight="1" x14ac:dyDescent="0.2">
      <c r="A53" s="39" t="s">
        <v>149</v>
      </c>
      <c r="B53" s="40" t="s">
        <v>150</v>
      </c>
      <c r="C53" s="39" t="s">
        <v>62</v>
      </c>
      <c r="D53" s="41" t="s">
        <v>29</v>
      </c>
      <c r="E53" s="39" t="s">
        <v>17</v>
      </c>
      <c r="F53" s="42" t="s">
        <v>18</v>
      </c>
      <c r="G53" s="43" t="s">
        <v>19</v>
      </c>
      <c r="H53" s="39"/>
      <c r="I53" s="44" t="str">
        <f t="shared" si="0"/>
        <v/>
      </c>
      <c r="J53" s="39"/>
      <c r="L53" s="45"/>
      <c r="M53" s="46">
        <v>2318166.67</v>
      </c>
    </row>
    <row r="54" spans="1:13" ht="15.75" customHeight="1" x14ac:dyDescent="0.2">
      <c r="A54" s="47" t="s">
        <v>151</v>
      </c>
      <c r="B54" s="48" t="s">
        <v>152</v>
      </c>
      <c r="C54" s="47" t="s">
        <v>92</v>
      </c>
      <c r="D54" s="49" t="s">
        <v>126</v>
      </c>
      <c r="E54" s="47" t="s">
        <v>17</v>
      </c>
      <c r="F54" s="59" t="s">
        <v>47</v>
      </c>
      <c r="G54" s="43" t="s">
        <v>19</v>
      </c>
      <c r="H54" s="47"/>
      <c r="I54" s="44" t="str">
        <f t="shared" si="0"/>
        <v/>
      </c>
      <c r="J54" s="47"/>
      <c r="L54" s="55"/>
      <c r="M54" s="56">
        <v>2280692.02</v>
      </c>
    </row>
    <row r="55" spans="1:13" ht="15.75" customHeight="1" x14ac:dyDescent="0.2">
      <c r="A55" s="47" t="s">
        <v>153</v>
      </c>
      <c r="B55" s="48" t="s">
        <v>154</v>
      </c>
      <c r="C55" s="47" t="s">
        <v>138</v>
      </c>
      <c r="D55" s="49" t="s">
        <v>126</v>
      </c>
      <c r="E55" s="47" t="s">
        <v>17</v>
      </c>
      <c r="F55" s="59" t="s">
        <v>47</v>
      </c>
      <c r="G55" s="43" t="s">
        <v>19</v>
      </c>
      <c r="H55" s="47"/>
      <c r="I55" s="44" t="str">
        <f t="shared" si="0"/>
        <v/>
      </c>
      <c r="J55" s="47"/>
      <c r="L55" s="55"/>
      <c r="M55" s="56">
        <v>2231312.5</v>
      </c>
    </row>
    <row r="56" spans="1:13" ht="15.75" customHeight="1" x14ac:dyDescent="0.2">
      <c r="A56" s="47" t="s">
        <v>155</v>
      </c>
      <c r="B56" s="48" t="s">
        <v>156</v>
      </c>
      <c r="C56" s="47" t="s">
        <v>92</v>
      </c>
      <c r="D56" s="49" t="s">
        <v>23</v>
      </c>
      <c r="E56" s="47" t="s">
        <v>17</v>
      </c>
      <c r="F56" s="59" t="s">
        <v>47</v>
      </c>
      <c r="G56" s="43" t="s">
        <v>19</v>
      </c>
      <c r="H56" s="47"/>
      <c r="I56" s="44" t="str">
        <f t="shared" si="0"/>
        <v/>
      </c>
      <c r="J56" s="47"/>
      <c r="L56" s="55"/>
      <c r="M56" s="56">
        <v>2229086.7799999998</v>
      </c>
    </row>
    <row r="57" spans="1:13" ht="15.75" customHeight="1" x14ac:dyDescent="0.2">
      <c r="A57" s="47" t="s">
        <v>157</v>
      </c>
      <c r="B57" s="48" t="s">
        <v>158</v>
      </c>
      <c r="C57" s="47" t="s">
        <v>36</v>
      </c>
      <c r="D57" s="49" t="s">
        <v>29</v>
      </c>
      <c r="E57" s="47" t="s">
        <v>17</v>
      </c>
      <c r="F57" s="59" t="s">
        <v>47</v>
      </c>
      <c r="G57" s="43" t="s">
        <v>19</v>
      </c>
      <c r="H57" s="47"/>
      <c r="I57" s="44" t="str">
        <f t="shared" si="0"/>
        <v/>
      </c>
      <c r="J57" s="47"/>
      <c r="L57" s="55"/>
      <c r="M57" s="56">
        <v>2142840.08</v>
      </c>
    </row>
    <row r="58" spans="1:13" ht="15.75" customHeight="1" x14ac:dyDescent="0.2">
      <c r="A58" s="47" t="s">
        <v>159</v>
      </c>
      <c r="B58" s="48" t="s">
        <v>160</v>
      </c>
      <c r="C58" s="47" t="s">
        <v>75</v>
      </c>
      <c r="D58" s="49" t="s">
        <v>29</v>
      </c>
      <c r="E58" s="47" t="s">
        <v>17</v>
      </c>
      <c r="F58" s="57" t="s">
        <v>18</v>
      </c>
      <c r="G58" s="43" t="s">
        <v>19</v>
      </c>
      <c r="H58" s="47"/>
      <c r="I58" s="44" t="str">
        <f t="shared" si="0"/>
        <v/>
      </c>
      <c r="J58" s="47"/>
      <c r="L58" s="55"/>
      <c r="M58" s="56">
        <v>2079686.82</v>
      </c>
    </row>
    <row r="59" spans="1:13" ht="15.75" customHeight="1" x14ac:dyDescent="0.2">
      <c r="A59" s="47" t="s">
        <v>161</v>
      </c>
      <c r="B59" s="48" t="s">
        <v>162</v>
      </c>
      <c r="C59" s="47" t="s">
        <v>15</v>
      </c>
      <c r="D59" s="49" t="s">
        <v>29</v>
      </c>
      <c r="E59" s="47" t="s">
        <v>17</v>
      </c>
      <c r="F59" s="59" t="s">
        <v>47</v>
      </c>
      <c r="G59" s="43" t="s">
        <v>19</v>
      </c>
      <c r="H59" s="47"/>
      <c r="I59" s="44" t="str">
        <f t="shared" si="0"/>
        <v/>
      </c>
      <c r="J59" s="47"/>
      <c r="L59" s="55"/>
      <c r="M59" s="56">
        <v>2021753.39</v>
      </c>
    </row>
    <row r="60" spans="1:13" ht="15.75" customHeight="1" x14ac:dyDescent="0.2">
      <c r="A60" s="39" t="s">
        <v>163</v>
      </c>
      <c r="B60" s="40" t="s">
        <v>164</v>
      </c>
      <c r="C60" s="39" t="s">
        <v>36</v>
      </c>
      <c r="D60" s="41" t="s">
        <v>37</v>
      </c>
      <c r="E60" s="39" t="s">
        <v>17</v>
      </c>
      <c r="F60" s="58" t="s">
        <v>47</v>
      </c>
      <c r="G60" s="43" t="s">
        <v>19</v>
      </c>
      <c r="H60" s="39"/>
      <c r="I60" s="44" t="str">
        <f t="shared" si="0"/>
        <v/>
      </c>
      <c r="J60" s="39"/>
      <c r="L60" s="45"/>
      <c r="M60" s="46">
        <v>2000026.97</v>
      </c>
    </row>
    <row r="61" spans="1:13" ht="15.75" customHeight="1" x14ac:dyDescent="0.2">
      <c r="A61" s="47" t="s">
        <v>165</v>
      </c>
      <c r="B61" s="48" t="s">
        <v>166</v>
      </c>
      <c r="C61" s="47" t="s">
        <v>59</v>
      </c>
      <c r="D61" s="49" t="s">
        <v>126</v>
      </c>
      <c r="E61" s="47" t="s">
        <v>17</v>
      </c>
      <c r="F61" s="57" t="s">
        <v>18</v>
      </c>
      <c r="G61" s="43" t="s">
        <v>19</v>
      </c>
      <c r="H61" s="47"/>
      <c r="I61" s="44" t="str">
        <f t="shared" si="0"/>
        <v/>
      </c>
      <c r="J61" s="47"/>
      <c r="L61" s="55"/>
      <c r="M61" s="56">
        <v>1985055.17</v>
      </c>
    </row>
    <row r="62" spans="1:13" ht="15.75" customHeight="1" x14ac:dyDescent="0.2">
      <c r="A62" s="47" t="s">
        <v>167</v>
      </c>
      <c r="B62" s="48" t="s">
        <v>168</v>
      </c>
      <c r="C62" s="47" t="s">
        <v>75</v>
      </c>
      <c r="D62" s="49" t="s">
        <v>16</v>
      </c>
      <c r="E62" s="47" t="s">
        <v>17</v>
      </c>
      <c r="F62" s="59" t="s">
        <v>47</v>
      </c>
      <c r="G62" s="43" t="s">
        <v>19</v>
      </c>
      <c r="H62" s="47"/>
      <c r="I62" s="44" t="str">
        <f t="shared" si="0"/>
        <v/>
      </c>
      <c r="J62" s="47"/>
      <c r="L62" s="55"/>
      <c r="M62" s="56">
        <v>1967681.82</v>
      </c>
    </row>
    <row r="63" spans="1:13" ht="15.75" customHeight="1" x14ac:dyDescent="0.2">
      <c r="A63" s="47" t="s">
        <v>169</v>
      </c>
      <c r="B63" s="48" t="s">
        <v>170</v>
      </c>
      <c r="C63" s="47" t="s">
        <v>62</v>
      </c>
      <c r="D63" s="49" t="s">
        <v>37</v>
      </c>
      <c r="E63" s="47" t="s">
        <v>17</v>
      </c>
      <c r="F63" s="57" t="s">
        <v>18</v>
      </c>
      <c r="G63" s="43" t="s">
        <v>19</v>
      </c>
      <c r="H63" s="47"/>
      <c r="I63" s="44" t="str">
        <f t="shared" si="0"/>
        <v/>
      </c>
      <c r="J63" s="47"/>
      <c r="L63" s="55"/>
      <c r="M63" s="56">
        <v>1967303.97</v>
      </c>
    </row>
    <row r="64" spans="1:13" ht="15.75" customHeight="1" x14ac:dyDescent="0.2">
      <c r="A64" s="39" t="s">
        <v>171</v>
      </c>
      <c r="B64" s="40" t="s">
        <v>172</v>
      </c>
      <c r="C64" s="39" t="s">
        <v>173</v>
      </c>
      <c r="D64" s="41" t="s">
        <v>174</v>
      </c>
      <c r="E64" s="39" t="s">
        <v>17</v>
      </c>
      <c r="F64" s="42" t="s">
        <v>18</v>
      </c>
      <c r="G64" s="43" t="s">
        <v>19</v>
      </c>
      <c r="H64" s="39"/>
      <c r="I64" s="44" t="str">
        <f t="shared" si="0"/>
        <v/>
      </c>
      <c r="J64" s="39"/>
      <c r="L64" s="45"/>
      <c r="M64" s="46">
        <v>1958494.9</v>
      </c>
    </row>
    <row r="65" spans="1:13" ht="15.75" customHeight="1" x14ac:dyDescent="0.2">
      <c r="A65" s="39" t="s">
        <v>175</v>
      </c>
      <c r="B65" s="40" t="s">
        <v>176</v>
      </c>
      <c r="C65" s="39" t="s">
        <v>75</v>
      </c>
      <c r="D65" s="41" t="s">
        <v>37</v>
      </c>
      <c r="E65" s="39" t="s">
        <v>17</v>
      </c>
      <c r="F65" s="58" t="s">
        <v>47</v>
      </c>
      <c r="G65" s="43" t="s">
        <v>19</v>
      </c>
      <c r="H65" s="39"/>
      <c r="I65" s="44" t="str">
        <f t="shared" si="0"/>
        <v/>
      </c>
      <c r="J65" s="39"/>
      <c r="L65" s="45"/>
      <c r="M65" s="46">
        <v>1888429.98</v>
      </c>
    </row>
    <row r="66" spans="1:13" ht="15.75" customHeight="1" x14ac:dyDescent="0.2">
      <c r="A66" s="47" t="s">
        <v>177</v>
      </c>
      <c r="B66" s="48" t="s">
        <v>178</v>
      </c>
      <c r="C66" s="47" t="s">
        <v>32</v>
      </c>
      <c r="D66" s="49" t="s">
        <v>37</v>
      </c>
      <c r="E66" s="47" t="s">
        <v>17</v>
      </c>
      <c r="F66" s="59" t="s">
        <v>47</v>
      </c>
      <c r="G66" s="43" t="s">
        <v>19</v>
      </c>
      <c r="H66" s="47"/>
      <c r="I66" s="44" t="str">
        <f t="shared" ref="I66:I129" si="1">IF(H66="","",H66+9)</f>
        <v/>
      </c>
      <c r="J66" s="47"/>
      <c r="L66" s="55"/>
      <c r="M66" s="56">
        <v>1881140</v>
      </c>
    </row>
    <row r="67" spans="1:13" ht="15.75" customHeight="1" x14ac:dyDescent="0.2">
      <c r="A67" s="47" t="s">
        <v>179</v>
      </c>
      <c r="B67" s="48" t="s">
        <v>180</v>
      </c>
      <c r="C67" s="47" t="s">
        <v>62</v>
      </c>
      <c r="D67" s="49" t="s">
        <v>29</v>
      </c>
      <c r="E67" s="47" t="s">
        <v>17</v>
      </c>
      <c r="F67" s="57" t="s">
        <v>18</v>
      </c>
      <c r="G67" s="43" t="s">
        <v>19</v>
      </c>
      <c r="H67" s="47"/>
      <c r="I67" s="44" t="str">
        <f t="shared" si="1"/>
        <v/>
      </c>
      <c r="J67" s="47"/>
      <c r="L67" s="55"/>
      <c r="M67" s="56">
        <v>1852430.52</v>
      </c>
    </row>
    <row r="68" spans="1:13" ht="15.75" customHeight="1" x14ac:dyDescent="0.2">
      <c r="A68" s="47" t="s">
        <v>181</v>
      </c>
      <c r="B68" s="48" t="s">
        <v>182</v>
      </c>
      <c r="C68" s="47" t="s">
        <v>22</v>
      </c>
      <c r="D68" s="49" t="s">
        <v>29</v>
      </c>
      <c r="E68" s="47" t="s">
        <v>17</v>
      </c>
      <c r="F68" s="59" t="s">
        <v>47</v>
      </c>
      <c r="G68" s="43" t="s">
        <v>19</v>
      </c>
      <c r="H68" s="47"/>
      <c r="I68" s="44" t="str">
        <f t="shared" si="1"/>
        <v/>
      </c>
      <c r="J68" s="47"/>
      <c r="L68" s="55"/>
      <c r="M68" s="56">
        <v>1809140.21</v>
      </c>
    </row>
    <row r="69" spans="1:13" ht="15.75" customHeight="1" x14ac:dyDescent="0.2">
      <c r="A69" s="47" t="s">
        <v>183</v>
      </c>
      <c r="B69" s="48" t="s">
        <v>184</v>
      </c>
      <c r="C69" s="47" t="s">
        <v>62</v>
      </c>
      <c r="D69" s="49" t="s">
        <v>37</v>
      </c>
      <c r="E69" s="47" t="s">
        <v>17</v>
      </c>
      <c r="F69" s="59" t="s">
        <v>47</v>
      </c>
      <c r="G69" s="43" t="s">
        <v>19</v>
      </c>
      <c r="H69" s="47"/>
      <c r="I69" s="44" t="str">
        <f t="shared" si="1"/>
        <v/>
      </c>
      <c r="J69" s="47"/>
      <c r="L69" s="55"/>
      <c r="M69" s="56">
        <v>1805056.34</v>
      </c>
    </row>
    <row r="70" spans="1:13" ht="15.75" customHeight="1" x14ac:dyDescent="0.2">
      <c r="A70" s="47" t="s">
        <v>185</v>
      </c>
      <c r="B70" s="48" t="s">
        <v>186</v>
      </c>
      <c r="C70" s="47" t="s">
        <v>59</v>
      </c>
      <c r="D70" s="49" t="s">
        <v>29</v>
      </c>
      <c r="E70" s="47" t="s">
        <v>17</v>
      </c>
      <c r="F70" s="57" t="s">
        <v>18</v>
      </c>
      <c r="G70" s="43" t="s">
        <v>19</v>
      </c>
      <c r="H70" s="47"/>
      <c r="I70" s="44" t="str">
        <f t="shared" si="1"/>
        <v/>
      </c>
      <c r="J70" s="47"/>
      <c r="L70" s="55"/>
      <c r="M70" s="56">
        <v>1793495.62</v>
      </c>
    </row>
    <row r="71" spans="1:13" ht="15.75" customHeight="1" x14ac:dyDescent="0.2">
      <c r="A71" s="39" t="s">
        <v>187</v>
      </c>
      <c r="B71" s="40" t="s">
        <v>188</v>
      </c>
      <c r="C71" s="39" t="s">
        <v>80</v>
      </c>
      <c r="D71" s="41" t="s">
        <v>29</v>
      </c>
      <c r="E71" s="39" t="s">
        <v>17</v>
      </c>
      <c r="F71" s="42" t="s">
        <v>18</v>
      </c>
      <c r="G71" s="43" t="s">
        <v>19</v>
      </c>
      <c r="H71" s="39"/>
      <c r="I71" s="44" t="str">
        <f t="shared" si="1"/>
        <v/>
      </c>
      <c r="J71" s="39"/>
      <c r="L71" s="45"/>
      <c r="M71" s="46">
        <v>1789114.83</v>
      </c>
    </row>
    <row r="72" spans="1:13" ht="15.75" customHeight="1" x14ac:dyDescent="0.2">
      <c r="A72" s="39" t="s">
        <v>189</v>
      </c>
      <c r="B72" s="40" t="s">
        <v>190</v>
      </c>
      <c r="C72" s="39" t="s">
        <v>80</v>
      </c>
      <c r="D72" s="41" t="s">
        <v>37</v>
      </c>
      <c r="E72" s="39" t="s">
        <v>17</v>
      </c>
      <c r="F72" s="42" t="s">
        <v>18</v>
      </c>
      <c r="G72" s="43" t="s">
        <v>19</v>
      </c>
      <c r="H72" s="39"/>
      <c r="I72" s="44" t="str">
        <f t="shared" si="1"/>
        <v/>
      </c>
      <c r="J72" s="39"/>
      <c r="L72" s="45"/>
      <c r="M72" s="46">
        <v>1771109.07</v>
      </c>
    </row>
    <row r="73" spans="1:13" ht="15.75" customHeight="1" x14ac:dyDescent="0.2">
      <c r="A73" s="47" t="s">
        <v>191</v>
      </c>
      <c r="B73" s="48" t="s">
        <v>192</v>
      </c>
      <c r="C73" s="47" t="s">
        <v>106</v>
      </c>
      <c r="D73" s="49" t="s">
        <v>37</v>
      </c>
      <c r="E73" s="47" t="s">
        <v>17</v>
      </c>
      <c r="F73" s="59" t="s">
        <v>47</v>
      </c>
      <c r="G73" s="43" t="s">
        <v>19</v>
      </c>
      <c r="H73" s="47"/>
      <c r="I73" s="44" t="str">
        <f t="shared" si="1"/>
        <v/>
      </c>
      <c r="J73" s="47"/>
      <c r="L73" s="55"/>
      <c r="M73" s="56">
        <v>1757543.44</v>
      </c>
    </row>
    <row r="74" spans="1:13" ht="15.75" customHeight="1" x14ac:dyDescent="0.2">
      <c r="A74" s="47" t="s">
        <v>193</v>
      </c>
      <c r="B74" s="48" t="s">
        <v>194</v>
      </c>
      <c r="C74" s="47" t="s">
        <v>92</v>
      </c>
      <c r="D74" s="49" t="s">
        <v>97</v>
      </c>
      <c r="E74" s="47" t="s">
        <v>17</v>
      </c>
      <c r="F74" s="59" t="s">
        <v>47</v>
      </c>
      <c r="G74" s="43" t="s">
        <v>19</v>
      </c>
      <c r="H74" s="47"/>
      <c r="I74" s="44" t="str">
        <f t="shared" si="1"/>
        <v/>
      </c>
      <c r="J74" s="47"/>
      <c r="L74" s="55"/>
      <c r="M74" s="56">
        <v>1752557.29</v>
      </c>
    </row>
    <row r="75" spans="1:13" ht="15.75" customHeight="1" x14ac:dyDescent="0.2">
      <c r="A75" s="47" t="s">
        <v>195</v>
      </c>
      <c r="B75" s="48" t="s">
        <v>196</v>
      </c>
      <c r="C75" s="47" t="s">
        <v>75</v>
      </c>
      <c r="D75" s="49" t="s">
        <v>16</v>
      </c>
      <c r="E75" s="47" t="s">
        <v>17</v>
      </c>
      <c r="F75" s="57" t="s">
        <v>18</v>
      </c>
      <c r="G75" s="43" t="s">
        <v>19</v>
      </c>
      <c r="H75" s="47"/>
      <c r="I75" s="44" t="str">
        <f t="shared" si="1"/>
        <v/>
      </c>
      <c r="J75" s="47"/>
      <c r="L75" s="55"/>
      <c r="M75" s="56">
        <v>1749508.05</v>
      </c>
    </row>
    <row r="76" spans="1:13" ht="15.75" customHeight="1" x14ac:dyDescent="0.2">
      <c r="A76" s="39" t="s">
        <v>197</v>
      </c>
      <c r="B76" s="40" t="s">
        <v>198</v>
      </c>
      <c r="C76" s="39" t="s">
        <v>92</v>
      </c>
      <c r="D76" s="41" t="s">
        <v>126</v>
      </c>
      <c r="E76" s="39" t="s">
        <v>17</v>
      </c>
      <c r="F76" s="58" t="s">
        <v>47</v>
      </c>
      <c r="G76" s="43" t="s">
        <v>19</v>
      </c>
      <c r="H76" s="39"/>
      <c r="I76" s="44" t="str">
        <f t="shared" si="1"/>
        <v/>
      </c>
      <c r="J76" s="39"/>
      <c r="L76" s="45"/>
      <c r="M76" s="46">
        <v>1736774</v>
      </c>
    </row>
    <row r="77" spans="1:13" ht="15.75" customHeight="1" x14ac:dyDescent="0.2">
      <c r="A77" s="39" t="s">
        <v>199</v>
      </c>
      <c r="B77" s="40" t="s">
        <v>200</v>
      </c>
      <c r="C77" s="39" t="s">
        <v>130</v>
      </c>
      <c r="D77" s="41" t="s">
        <v>126</v>
      </c>
      <c r="E77" s="39" t="s">
        <v>17</v>
      </c>
      <c r="F77" s="58" t="s">
        <v>47</v>
      </c>
      <c r="G77" s="43" t="s">
        <v>19</v>
      </c>
      <c r="H77" s="39"/>
      <c r="I77" s="44" t="str">
        <f t="shared" si="1"/>
        <v/>
      </c>
      <c r="J77" s="39"/>
      <c r="L77" s="45"/>
      <c r="M77" s="46">
        <v>1719725</v>
      </c>
    </row>
    <row r="78" spans="1:13" ht="15.75" customHeight="1" x14ac:dyDescent="0.2">
      <c r="A78" s="47" t="s">
        <v>201</v>
      </c>
      <c r="B78" s="48" t="s">
        <v>202</v>
      </c>
      <c r="C78" s="47" t="s">
        <v>106</v>
      </c>
      <c r="D78" s="49" t="s">
        <v>29</v>
      </c>
      <c r="E78" s="47" t="s">
        <v>17</v>
      </c>
      <c r="F78" s="59" t="s">
        <v>47</v>
      </c>
      <c r="G78" s="43" t="s">
        <v>19</v>
      </c>
      <c r="H78" s="47"/>
      <c r="I78" s="44" t="str">
        <f t="shared" si="1"/>
        <v/>
      </c>
      <c r="J78" s="47"/>
      <c r="L78" s="55"/>
      <c r="M78" s="56">
        <v>1718915.91</v>
      </c>
    </row>
    <row r="79" spans="1:13" ht="15.75" customHeight="1" x14ac:dyDescent="0.2">
      <c r="A79" s="39" t="s">
        <v>203</v>
      </c>
      <c r="B79" s="40" t="s">
        <v>204</v>
      </c>
      <c r="C79" s="39" t="s">
        <v>75</v>
      </c>
      <c r="D79" s="41" t="s">
        <v>23</v>
      </c>
      <c r="E79" s="39" t="s">
        <v>17</v>
      </c>
      <c r="F79" s="42" t="s">
        <v>18</v>
      </c>
      <c r="G79" s="43" t="s">
        <v>19</v>
      </c>
      <c r="H79" s="39"/>
      <c r="I79" s="44" t="str">
        <f t="shared" si="1"/>
        <v/>
      </c>
      <c r="J79" s="39"/>
      <c r="L79" s="45"/>
      <c r="M79" s="46">
        <v>1677157.87</v>
      </c>
    </row>
    <row r="80" spans="1:13" ht="15.75" customHeight="1" x14ac:dyDescent="0.2">
      <c r="A80" s="39" t="s">
        <v>205</v>
      </c>
      <c r="B80" s="40" t="s">
        <v>206</v>
      </c>
      <c r="C80" s="39" t="s">
        <v>54</v>
      </c>
      <c r="D80" s="41" t="s">
        <v>37</v>
      </c>
      <c r="E80" s="39" t="s">
        <v>17</v>
      </c>
      <c r="F80" s="58" t="s">
        <v>47</v>
      </c>
      <c r="G80" s="43" t="s">
        <v>19</v>
      </c>
      <c r="H80" s="39"/>
      <c r="I80" s="44" t="str">
        <f t="shared" si="1"/>
        <v/>
      </c>
      <c r="J80" s="39"/>
      <c r="L80" s="45"/>
      <c r="M80" s="46">
        <v>1668194.42</v>
      </c>
    </row>
    <row r="81" spans="1:13" ht="15.75" customHeight="1" x14ac:dyDescent="0.2">
      <c r="A81" s="39" t="s">
        <v>207</v>
      </c>
      <c r="B81" s="40" t="s">
        <v>208</v>
      </c>
      <c r="C81" s="39" t="s">
        <v>62</v>
      </c>
      <c r="D81" s="41" t="s">
        <v>29</v>
      </c>
      <c r="E81" s="39" t="s">
        <v>17</v>
      </c>
      <c r="F81" s="58" t="s">
        <v>47</v>
      </c>
      <c r="G81" s="43" t="s">
        <v>19</v>
      </c>
      <c r="H81" s="39"/>
      <c r="I81" s="44" t="str">
        <f t="shared" si="1"/>
        <v/>
      </c>
      <c r="J81" s="39"/>
      <c r="L81" s="45"/>
      <c r="M81" s="46">
        <v>1638025.82</v>
      </c>
    </row>
    <row r="82" spans="1:13" ht="15.75" customHeight="1" x14ac:dyDescent="0.2">
      <c r="A82" s="47" t="s">
        <v>209</v>
      </c>
      <c r="B82" s="48" t="s">
        <v>210</v>
      </c>
      <c r="C82" s="47" t="s">
        <v>62</v>
      </c>
      <c r="D82" s="49" t="s">
        <v>29</v>
      </c>
      <c r="E82" s="47" t="s">
        <v>17</v>
      </c>
      <c r="F82" s="59" t="s">
        <v>47</v>
      </c>
      <c r="G82" s="43" t="s">
        <v>19</v>
      </c>
      <c r="H82" s="47"/>
      <c r="I82" s="44" t="str">
        <f t="shared" si="1"/>
        <v/>
      </c>
      <c r="J82" s="47"/>
      <c r="L82" s="55"/>
      <c r="M82" s="56">
        <v>1629011.39</v>
      </c>
    </row>
    <row r="83" spans="1:13" ht="15.75" customHeight="1" x14ac:dyDescent="0.2">
      <c r="A83" s="47" t="s">
        <v>211</v>
      </c>
      <c r="B83" s="48" t="s">
        <v>212</v>
      </c>
      <c r="C83" s="47" t="s">
        <v>106</v>
      </c>
      <c r="D83" s="49" t="s">
        <v>37</v>
      </c>
      <c r="E83" s="47" t="s">
        <v>17</v>
      </c>
      <c r="F83" s="59" t="s">
        <v>47</v>
      </c>
      <c r="G83" s="43" t="s">
        <v>19</v>
      </c>
      <c r="H83" s="47"/>
      <c r="I83" s="44" t="str">
        <f t="shared" si="1"/>
        <v/>
      </c>
      <c r="J83" s="47"/>
      <c r="L83" s="55"/>
      <c r="M83" s="56">
        <v>1622959.6</v>
      </c>
    </row>
    <row r="84" spans="1:13" ht="15.75" customHeight="1" x14ac:dyDescent="0.2">
      <c r="A84" s="47" t="s">
        <v>213</v>
      </c>
      <c r="B84" s="48" t="s">
        <v>214</v>
      </c>
      <c r="C84" s="47" t="s">
        <v>40</v>
      </c>
      <c r="D84" s="49" t="s">
        <v>23</v>
      </c>
      <c r="E84" s="47" t="s">
        <v>17</v>
      </c>
      <c r="F84" s="57" t="s">
        <v>18</v>
      </c>
      <c r="G84" s="43" t="s">
        <v>19</v>
      </c>
      <c r="H84" s="47"/>
      <c r="I84" s="44" t="str">
        <f t="shared" si="1"/>
        <v/>
      </c>
      <c r="J84" s="47"/>
      <c r="L84" s="55"/>
      <c r="M84" s="56">
        <v>1611962.05</v>
      </c>
    </row>
    <row r="85" spans="1:13" ht="15.75" customHeight="1" x14ac:dyDescent="0.2">
      <c r="A85" s="39" t="s">
        <v>215</v>
      </c>
      <c r="B85" s="40" t="s">
        <v>216</v>
      </c>
      <c r="C85" s="39" t="s">
        <v>22</v>
      </c>
      <c r="D85" s="41" t="s">
        <v>37</v>
      </c>
      <c r="E85" s="39" t="s">
        <v>17</v>
      </c>
      <c r="F85" s="42" t="s">
        <v>18</v>
      </c>
      <c r="G85" s="43" t="s">
        <v>19</v>
      </c>
      <c r="H85" s="39"/>
      <c r="I85" s="44" t="str">
        <f t="shared" si="1"/>
        <v/>
      </c>
      <c r="J85" s="39"/>
      <c r="L85" s="45"/>
      <c r="M85" s="46">
        <v>1596230.57</v>
      </c>
    </row>
    <row r="86" spans="1:13" ht="15.75" customHeight="1" x14ac:dyDescent="0.2">
      <c r="A86" s="39" t="s">
        <v>217</v>
      </c>
      <c r="B86" s="40" t="s">
        <v>218</v>
      </c>
      <c r="C86" s="39" t="s">
        <v>106</v>
      </c>
      <c r="D86" s="41" t="s">
        <v>51</v>
      </c>
      <c r="E86" s="39" t="s">
        <v>17</v>
      </c>
      <c r="F86" s="58" t="s">
        <v>47</v>
      </c>
      <c r="G86" s="43" t="s">
        <v>19</v>
      </c>
      <c r="H86" s="39"/>
      <c r="I86" s="44" t="str">
        <f t="shared" si="1"/>
        <v/>
      </c>
      <c r="J86" s="39"/>
      <c r="L86" s="45"/>
      <c r="M86" s="46">
        <v>1588608.56</v>
      </c>
    </row>
    <row r="87" spans="1:13" ht="15.75" customHeight="1" x14ac:dyDescent="0.2">
      <c r="A87" s="39" t="s">
        <v>219</v>
      </c>
      <c r="B87" s="40" t="s">
        <v>220</v>
      </c>
      <c r="C87" s="39" t="s">
        <v>28</v>
      </c>
      <c r="D87" s="41" t="s">
        <v>37</v>
      </c>
      <c r="E87" s="39" t="s">
        <v>17</v>
      </c>
      <c r="F87" s="42" t="s">
        <v>18</v>
      </c>
      <c r="G87" s="43" t="s">
        <v>19</v>
      </c>
      <c r="H87" s="39"/>
      <c r="I87" s="44" t="str">
        <f t="shared" si="1"/>
        <v/>
      </c>
      <c r="J87" s="39"/>
      <c r="L87" s="45"/>
      <c r="M87" s="46">
        <v>1570363.88</v>
      </c>
    </row>
    <row r="88" spans="1:13" ht="15.75" customHeight="1" x14ac:dyDescent="0.2">
      <c r="A88" s="47" t="s">
        <v>221</v>
      </c>
      <c r="B88" s="48" t="s">
        <v>222</v>
      </c>
      <c r="C88" s="47" t="s">
        <v>22</v>
      </c>
      <c r="D88" s="49" t="s">
        <v>29</v>
      </c>
      <c r="E88" s="47" t="s">
        <v>17</v>
      </c>
      <c r="F88" s="57" t="s">
        <v>18</v>
      </c>
      <c r="G88" s="43" t="s">
        <v>19</v>
      </c>
      <c r="H88" s="47"/>
      <c r="I88" s="44" t="str">
        <f t="shared" si="1"/>
        <v/>
      </c>
      <c r="J88" s="47"/>
      <c r="L88" s="55"/>
      <c r="M88" s="56">
        <v>1536670.97</v>
      </c>
    </row>
    <row r="89" spans="1:13" ht="15.75" customHeight="1" x14ac:dyDescent="0.2">
      <c r="A89" s="39" t="s">
        <v>223</v>
      </c>
      <c r="B89" s="40" t="s">
        <v>224</v>
      </c>
      <c r="C89" s="39" t="s">
        <v>62</v>
      </c>
      <c r="D89" s="41" t="s">
        <v>29</v>
      </c>
      <c r="E89" s="39" t="s">
        <v>17</v>
      </c>
      <c r="F89" s="58" t="s">
        <v>47</v>
      </c>
      <c r="G89" s="43" t="s">
        <v>19</v>
      </c>
      <c r="H89" s="39"/>
      <c r="I89" s="44" t="str">
        <f t="shared" si="1"/>
        <v/>
      </c>
      <c r="J89" s="39"/>
      <c r="L89" s="45"/>
      <c r="M89" s="46">
        <v>1529068.5</v>
      </c>
    </row>
    <row r="90" spans="1:13" ht="15.75" customHeight="1" x14ac:dyDescent="0.2">
      <c r="A90" s="39" t="s">
        <v>225</v>
      </c>
      <c r="B90" s="40" t="s">
        <v>226</v>
      </c>
      <c r="C90" s="39" t="s">
        <v>138</v>
      </c>
      <c r="D90" s="41" t="s">
        <v>174</v>
      </c>
      <c r="E90" s="39" t="s">
        <v>17</v>
      </c>
      <c r="F90" s="42" t="s">
        <v>18</v>
      </c>
      <c r="G90" s="43" t="s">
        <v>19</v>
      </c>
      <c r="H90" s="39"/>
      <c r="I90" s="44" t="str">
        <f t="shared" si="1"/>
        <v/>
      </c>
      <c r="J90" s="39"/>
      <c r="L90" s="45"/>
      <c r="M90" s="46">
        <v>1527306.63</v>
      </c>
    </row>
    <row r="91" spans="1:13" ht="15.75" customHeight="1" x14ac:dyDescent="0.2">
      <c r="A91" s="39" t="s">
        <v>227</v>
      </c>
      <c r="B91" s="40" t="s">
        <v>228</v>
      </c>
      <c r="C91" s="39" t="s">
        <v>28</v>
      </c>
      <c r="D91" s="41" t="s">
        <v>37</v>
      </c>
      <c r="E91" s="39" t="s">
        <v>17</v>
      </c>
      <c r="F91" s="42" t="s">
        <v>18</v>
      </c>
      <c r="G91" s="43" t="s">
        <v>19</v>
      </c>
      <c r="H91" s="39"/>
      <c r="I91" s="44" t="str">
        <f t="shared" si="1"/>
        <v/>
      </c>
      <c r="J91" s="39"/>
      <c r="L91" s="45"/>
      <c r="M91" s="46">
        <v>1518311.3</v>
      </c>
    </row>
    <row r="92" spans="1:13" ht="15.75" customHeight="1" x14ac:dyDescent="0.2">
      <c r="A92" s="39" t="s">
        <v>229</v>
      </c>
      <c r="B92" s="40" t="s">
        <v>230</v>
      </c>
      <c r="C92" s="39" t="s">
        <v>62</v>
      </c>
      <c r="D92" s="41" t="s">
        <v>37</v>
      </c>
      <c r="E92" s="39" t="s">
        <v>17</v>
      </c>
      <c r="F92" s="42" t="s">
        <v>18</v>
      </c>
      <c r="G92" s="43" t="s">
        <v>19</v>
      </c>
      <c r="H92" s="39"/>
      <c r="I92" s="44" t="str">
        <f t="shared" si="1"/>
        <v/>
      </c>
      <c r="J92" s="39"/>
      <c r="L92" s="45"/>
      <c r="M92" s="46">
        <v>1431263.72</v>
      </c>
    </row>
    <row r="93" spans="1:13" ht="15.75" customHeight="1" x14ac:dyDescent="0.2">
      <c r="A93" s="47" t="s">
        <v>231</v>
      </c>
      <c r="B93" s="48" t="s">
        <v>232</v>
      </c>
      <c r="C93" s="47" t="s">
        <v>233</v>
      </c>
      <c r="D93" s="49" t="s">
        <v>97</v>
      </c>
      <c r="E93" s="47" t="s">
        <v>17</v>
      </c>
      <c r="F93" s="59" t="s">
        <v>47</v>
      </c>
      <c r="G93" s="43" t="s">
        <v>19</v>
      </c>
      <c r="H93" s="47"/>
      <c r="I93" s="44" t="str">
        <f t="shared" si="1"/>
        <v/>
      </c>
      <c r="J93" s="47"/>
      <c r="L93" s="55"/>
      <c r="M93" s="56">
        <v>1418284.93</v>
      </c>
    </row>
    <row r="94" spans="1:13" ht="15.75" customHeight="1" x14ac:dyDescent="0.2">
      <c r="A94" s="47" t="s">
        <v>234</v>
      </c>
      <c r="B94" s="48" t="s">
        <v>235</v>
      </c>
      <c r="C94" s="47" t="s">
        <v>28</v>
      </c>
      <c r="D94" s="49" t="s">
        <v>29</v>
      </c>
      <c r="E94" s="47" t="s">
        <v>17</v>
      </c>
      <c r="F94" s="59" t="s">
        <v>47</v>
      </c>
      <c r="G94" s="43" t="s">
        <v>19</v>
      </c>
      <c r="H94" s="47"/>
      <c r="I94" s="44" t="str">
        <f t="shared" si="1"/>
        <v/>
      </c>
      <c r="J94" s="47"/>
      <c r="L94" s="55"/>
      <c r="M94" s="56">
        <v>1417414.59</v>
      </c>
    </row>
    <row r="95" spans="1:13" ht="15.75" customHeight="1" x14ac:dyDescent="0.2">
      <c r="A95" s="39" t="s">
        <v>236</v>
      </c>
      <c r="B95" s="40" t="s">
        <v>237</v>
      </c>
      <c r="C95" s="39" t="s">
        <v>62</v>
      </c>
      <c r="D95" s="41" t="s">
        <v>23</v>
      </c>
      <c r="E95" s="39" t="s">
        <v>17</v>
      </c>
      <c r="F95" s="58" t="s">
        <v>47</v>
      </c>
      <c r="G95" s="43" t="s">
        <v>19</v>
      </c>
      <c r="H95" s="39"/>
      <c r="I95" s="44" t="str">
        <f t="shared" si="1"/>
        <v/>
      </c>
      <c r="J95" s="39"/>
      <c r="L95" s="45"/>
      <c r="M95" s="46">
        <v>1413220.41</v>
      </c>
    </row>
    <row r="96" spans="1:13" ht="15.75" customHeight="1" x14ac:dyDescent="0.2">
      <c r="A96" s="47" t="s">
        <v>238</v>
      </c>
      <c r="B96" s="48" t="s">
        <v>239</v>
      </c>
      <c r="C96" s="47" t="s">
        <v>40</v>
      </c>
      <c r="D96" s="49" t="s">
        <v>37</v>
      </c>
      <c r="E96" s="47" t="s">
        <v>17</v>
      </c>
      <c r="F96" s="57" t="s">
        <v>18</v>
      </c>
      <c r="G96" s="43" t="s">
        <v>19</v>
      </c>
      <c r="H96" s="47"/>
      <c r="I96" s="44" t="str">
        <f t="shared" si="1"/>
        <v/>
      </c>
      <c r="J96" s="47"/>
      <c r="L96" s="55"/>
      <c r="M96" s="56">
        <v>1402866.8</v>
      </c>
    </row>
    <row r="97" spans="1:13" ht="15.75" customHeight="1" x14ac:dyDescent="0.2">
      <c r="A97" s="39" t="s">
        <v>240</v>
      </c>
      <c r="B97" s="40" t="s">
        <v>241</v>
      </c>
      <c r="C97" s="39" t="s">
        <v>242</v>
      </c>
      <c r="D97" s="41" t="s">
        <v>37</v>
      </c>
      <c r="E97" s="39" t="s">
        <v>17</v>
      </c>
      <c r="F97" s="42" t="s">
        <v>18</v>
      </c>
      <c r="G97" s="43" t="s">
        <v>19</v>
      </c>
      <c r="H97" s="39"/>
      <c r="I97" s="44" t="str">
        <f t="shared" si="1"/>
        <v/>
      </c>
      <c r="J97" s="39"/>
      <c r="L97" s="45"/>
      <c r="M97" s="46">
        <v>1383034.18</v>
      </c>
    </row>
    <row r="98" spans="1:13" ht="15.75" customHeight="1" x14ac:dyDescent="0.2">
      <c r="A98" s="47" t="s">
        <v>243</v>
      </c>
      <c r="B98" s="48" t="s">
        <v>244</v>
      </c>
      <c r="C98" s="47" t="s">
        <v>28</v>
      </c>
      <c r="D98" s="49" t="s">
        <v>135</v>
      </c>
      <c r="E98" s="47" t="s">
        <v>17</v>
      </c>
      <c r="F98" s="59" t="s">
        <v>47</v>
      </c>
      <c r="G98" s="43" t="s">
        <v>19</v>
      </c>
      <c r="H98" s="47"/>
      <c r="I98" s="44" t="str">
        <f t="shared" si="1"/>
        <v/>
      </c>
      <c r="J98" s="47"/>
      <c r="L98" s="55"/>
      <c r="M98" s="56">
        <v>1359960.09</v>
      </c>
    </row>
    <row r="99" spans="1:13" ht="15.75" customHeight="1" x14ac:dyDescent="0.2">
      <c r="A99" s="47" t="s">
        <v>245</v>
      </c>
      <c r="B99" s="48" t="s">
        <v>246</v>
      </c>
      <c r="C99" s="47" t="s">
        <v>62</v>
      </c>
      <c r="D99" s="49" t="s">
        <v>29</v>
      </c>
      <c r="E99" s="47" t="s">
        <v>17</v>
      </c>
      <c r="F99" s="57" t="s">
        <v>18</v>
      </c>
      <c r="G99" s="43" t="s">
        <v>19</v>
      </c>
      <c r="H99" s="47"/>
      <c r="I99" s="44" t="str">
        <f t="shared" si="1"/>
        <v/>
      </c>
      <c r="J99" s="47"/>
      <c r="L99" s="55"/>
      <c r="M99" s="56">
        <v>1349316.54</v>
      </c>
    </row>
    <row r="100" spans="1:13" ht="15.75" customHeight="1" x14ac:dyDescent="0.2">
      <c r="A100" s="47" t="s">
        <v>247</v>
      </c>
      <c r="B100" s="48" t="s">
        <v>248</v>
      </c>
      <c r="C100" s="47" t="s">
        <v>15</v>
      </c>
      <c r="D100" s="49" t="s">
        <v>16</v>
      </c>
      <c r="E100" s="47" t="s">
        <v>17</v>
      </c>
      <c r="F100" s="59" t="s">
        <v>47</v>
      </c>
      <c r="G100" s="43" t="s">
        <v>19</v>
      </c>
      <c r="H100" s="47"/>
      <c r="I100" s="44" t="str">
        <f t="shared" si="1"/>
        <v/>
      </c>
      <c r="J100" s="47"/>
      <c r="L100" s="55"/>
      <c r="M100" s="56">
        <v>1344908.02</v>
      </c>
    </row>
    <row r="101" spans="1:13" ht="15.75" customHeight="1" x14ac:dyDescent="0.2">
      <c r="A101" s="47" t="s">
        <v>249</v>
      </c>
      <c r="B101" s="48" t="s">
        <v>250</v>
      </c>
      <c r="C101" s="47" t="s">
        <v>75</v>
      </c>
      <c r="D101" s="49" t="s">
        <v>51</v>
      </c>
      <c r="E101" s="47" t="s">
        <v>109</v>
      </c>
      <c r="F101" s="57" t="s">
        <v>18</v>
      </c>
      <c r="G101" s="43" t="s">
        <v>19</v>
      </c>
      <c r="H101" s="47"/>
      <c r="I101" s="44" t="str">
        <f t="shared" si="1"/>
        <v/>
      </c>
      <c r="J101" s="47"/>
      <c r="L101" s="55"/>
      <c r="M101" s="56">
        <v>1337593.49</v>
      </c>
    </row>
    <row r="102" spans="1:13" ht="15.75" customHeight="1" x14ac:dyDescent="0.2">
      <c r="A102" s="47" t="s">
        <v>251</v>
      </c>
      <c r="B102" s="48" t="s">
        <v>252</v>
      </c>
      <c r="C102" s="47" t="s">
        <v>62</v>
      </c>
      <c r="D102" s="49" t="s">
        <v>29</v>
      </c>
      <c r="E102" s="47" t="s">
        <v>17</v>
      </c>
      <c r="F102" s="59" t="s">
        <v>47</v>
      </c>
      <c r="G102" s="43" t="s">
        <v>19</v>
      </c>
      <c r="H102" s="47"/>
      <c r="I102" s="44" t="str">
        <f t="shared" si="1"/>
        <v/>
      </c>
      <c r="J102" s="47"/>
      <c r="L102" s="55"/>
      <c r="M102" s="56">
        <v>1333620.72</v>
      </c>
    </row>
    <row r="103" spans="1:13" ht="15.75" customHeight="1" x14ac:dyDescent="0.2">
      <c r="A103" s="47" t="s">
        <v>253</v>
      </c>
      <c r="B103" s="48" t="s">
        <v>254</v>
      </c>
      <c r="C103" s="47" t="s">
        <v>138</v>
      </c>
      <c r="D103" s="49" t="s">
        <v>126</v>
      </c>
      <c r="E103" s="47" t="s">
        <v>17</v>
      </c>
      <c r="F103" s="59" t="s">
        <v>47</v>
      </c>
      <c r="G103" s="43" t="s">
        <v>19</v>
      </c>
      <c r="H103" s="47"/>
      <c r="I103" s="44" t="str">
        <f t="shared" si="1"/>
        <v/>
      </c>
      <c r="J103" s="47"/>
      <c r="L103" s="55"/>
      <c r="M103" s="56">
        <v>1318344.45</v>
      </c>
    </row>
    <row r="104" spans="1:13" ht="15.75" customHeight="1" x14ac:dyDescent="0.2">
      <c r="A104" s="47" t="s">
        <v>255</v>
      </c>
      <c r="B104" s="48" t="s">
        <v>256</v>
      </c>
      <c r="C104" s="47" t="s">
        <v>32</v>
      </c>
      <c r="D104" s="49" t="s">
        <v>37</v>
      </c>
      <c r="E104" s="47" t="s">
        <v>17</v>
      </c>
      <c r="F104" s="57" t="s">
        <v>18</v>
      </c>
      <c r="G104" s="43" t="s">
        <v>19</v>
      </c>
      <c r="H104" s="47"/>
      <c r="I104" s="44" t="str">
        <f t="shared" si="1"/>
        <v/>
      </c>
      <c r="J104" s="47"/>
      <c r="L104" s="55"/>
      <c r="M104" s="56">
        <v>1303586.1299999999</v>
      </c>
    </row>
    <row r="105" spans="1:13" ht="15.75" customHeight="1" x14ac:dyDescent="0.2">
      <c r="A105" s="39" t="s">
        <v>257</v>
      </c>
      <c r="B105" s="40" t="s">
        <v>258</v>
      </c>
      <c r="C105" s="39" t="s">
        <v>92</v>
      </c>
      <c r="D105" s="41" t="s">
        <v>16</v>
      </c>
      <c r="E105" s="39" t="s">
        <v>109</v>
      </c>
      <c r="F105" s="58" t="s">
        <v>47</v>
      </c>
      <c r="G105" s="43" t="s">
        <v>19</v>
      </c>
      <c r="H105" s="39"/>
      <c r="I105" s="44" t="str">
        <f t="shared" si="1"/>
        <v/>
      </c>
      <c r="J105" s="39"/>
      <c r="L105" s="45"/>
      <c r="M105" s="46">
        <v>1281017.07</v>
      </c>
    </row>
    <row r="106" spans="1:13" ht="15.75" customHeight="1" x14ac:dyDescent="0.2">
      <c r="A106" s="47" t="s">
        <v>259</v>
      </c>
      <c r="B106" s="48" t="s">
        <v>260</v>
      </c>
      <c r="C106" s="47" t="s">
        <v>92</v>
      </c>
      <c r="D106" s="49" t="s">
        <v>126</v>
      </c>
      <c r="E106" s="47" t="s">
        <v>17</v>
      </c>
      <c r="F106" s="59" t="s">
        <v>47</v>
      </c>
      <c r="G106" s="43" t="s">
        <v>19</v>
      </c>
      <c r="H106" s="47"/>
      <c r="I106" s="44" t="str">
        <f t="shared" si="1"/>
        <v/>
      </c>
      <c r="J106" s="47"/>
      <c r="L106" s="55"/>
      <c r="M106" s="56">
        <v>1272837</v>
      </c>
    </row>
    <row r="107" spans="1:13" ht="15.75" customHeight="1" x14ac:dyDescent="0.2">
      <c r="A107" s="47" t="s">
        <v>261</v>
      </c>
      <c r="B107" s="48" t="s">
        <v>262</v>
      </c>
      <c r="C107" s="47" t="s">
        <v>138</v>
      </c>
      <c r="D107" s="49" t="s">
        <v>126</v>
      </c>
      <c r="E107" s="47" t="s">
        <v>17</v>
      </c>
      <c r="F107" s="59" t="s">
        <v>47</v>
      </c>
      <c r="G107" s="43" t="s">
        <v>19</v>
      </c>
      <c r="H107" s="47"/>
      <c r="I107" s="44" t="str">
        <f t="shared" si="1"/>
        <v/>
      </c>
      <c r="J107" s="47"/>
      <c r="L107" s="55"/>
      <c r="M107" s="56">
        <v>1271957</v>
      </c>
    </row>
    <row r="108" spans="1:13" ht="15.75" customHeight="1" x14ac:dyDescent="0.2">
      <c r="A108" s="47" t="s">
        <v>263</v>
      </c>
      <c r="B108" s="48" t="s">
        <v>264</v>
      </c>
      <c r="C108" s="47" t="s">
        <v>138</v>
      </c>
      <c r="D108" s="49" t="s">
        <v>126</v>
      </c>
      <c r="E108" s="47" t="s">
        <v>17</v>
      </c>
      <c r="F108" s="57" t="s">
        <v>18</v>
      </c>
      <c r="G108" s="43" t="s">
        <v>19</v>
      </c>
      <c r="H108" s="47"/>
      <c r="I108" s="44" t="str">
        <f t="shared" si="1"/>
        <v/>
      </c>
      <c r="J108" s="47"/>
      <c r="L108" s="55"/>
      <c r="M108" s="56">
        <v>1267492.96</v>
      </c>
    </row>
    <row r="109" spans="1:13" ht="15.75" customHeight="1" x14ac:dyDescent="0.2">
      <c r="A109" s="39" t="s">
        <v>265</v>
      </c>
      <c r="B109" s="40" t="s">
        <v>266</v>
      </c>
      <c r="C109" s="39" t="s">
        <v>138</v>
      </c>
      <c r="D109" s="41" t="s">
        <v>51</v>
      </c>
      <c r="E109" s="39" t="s">
        <v>109</v>
      </c>
      <c r="F109" s="42" t="s">
        <v>18</v>
      </c>
      <c r="G109" s="43" t="s">
        <v>19</v>
      </c>
      <c r="H109" s="39"/>
      <c r="I109" s="44" t="str">
        <f t="shared" si="1"/>
        <v/>
      </c>
      <c r="J109" s="39"/>
      <c r="L109" s="45"/>
      <c r="M109" s="46">
        <v>1261093.19</v>
      </c>
    </row>
    <row r="110" spans="1:13" ht="15.75" customHeight="1" x14ac:dyDescent="0.2">
      <c r="A110" s="39" t="s">
        <v>267</v>
      </c>
      <c r="B110" s="40" t="s">
        <v>268</v>
      </c>
      <c r="C110" s="39" t="s">
        <v>130</v>
      </c>
      <c r="D110" s="41" t="s">
        <v>16</v>
      </c>
      <c r="E110" s="39" t="s">
        <v>17</v>
      </c>
      <c r="F110" s="58" t="s">
        <v>47</v>
      </c>
      <c r="G110" s="43" t="s">
        <v>19</v>
      </c>
      <c r="H110" s="39"/>
      <c r="I110" s="44" t="str">
        <f t="shared" si="1"/>
        <v/>
      </c>
      <c r="J110" s="39"/>
      <c r="L110" s="45"/>
      <c r="M110" s="46">
        <v>1253754.98</v>
      </c>
    </row>
    <row r="111" spans="1:13" ht="15.75" customHeight="1" x14ac:dyDescent="0.2">
      <c r="A111" s="39" t="s">
        <v>269</v>
      </c>
      <c r="B111" s="40" t="s">
        <v>270</v>
      </c>
      <c r="C111" s="39" t="s">
        <v>32</v>
      </c>
      <c r="D111" s="41" t="s">
        <v>29</v>
      </c>
      <c r="E111" s="39" t="s">
        <v>17</v>
      </c>
      <c r="F111" s="58" t="s">
        <v>47</v>
      </c>
      <c r="G111" s="43" t="s">
        <v>19</v>
      </c>
      <c r="H111" s="39"/>
      <c r="I111" s="44" t="str">
        <f t="shared" si="1"/>
        <v/>
      </c>
      <c r="J111" s="39"/>
      <c r="L111" s="45"/>
      <c r="M111" s="46">
        <v>1251919.73</v>
      </c>
    </row>
    <row r="112" spans="1:13" ht="15.75" customHeight="1" x14ac:dyDescent="0.2">
      <c r="A112" s="39" t="s">
        <v>271</v>
      </c>
      <c r="B112" s="40" t="s">
        <v>272</v>
      </c>
      <c r="C112" s="39" t="s">
        <v>273</v>
      </c>
      <c r="D112" s="41" t="s">
        <v>37</v>
      </c>
      <c r="E112" s="39" t="s">
        <v>17</v>
      </c>
      <c r="F112" s="58" t="s">
        <v>47</v>
      </c>
      <c r="G112" s="43" t="s">
        <v>19</v>
      </c>
      <c r="H112" s="39"/>
      <c r="I112" s="44" t="str">
        <f t="shared" si="1"/>
        <v/>
      </c>
      <c r="J112" s="39"/>
      <c r="L112" s="45"/>
      <c r="M112" s="46">
        <v>1235896.7</v>
      </c>
    </row>
    <row r="113" spans="1:13" ht="15.75" customHeight="1" x14ac:dyDescent="0.2">
      <c r="A113" s="39" t="s">
        <v>274</v>
      </c>
      <c r="B113" s="40" t="s">
        <v>275</v>
      </c>
      <c r="C113" s="39" t="s">
        <v>273</v>
      </c>
      <c r="D113" s="41" t="s">
        <v>37</v>
      </c>
      <c r="E113" s="39" t="s">
        <v>17</v>
      </c>
      <c r="F113" s="58" t="s">
        <v>47</v>
      </c>
      <c r="G113" s="43" t="s">
        <v>19</v>
      </c>
      <c r="H113" s="39"/>
      <c r="I113" s="44" t="str">
        <f t="shared" si="1"/>
        <v/>
      </c>
      <c r="J113" s="39"/>
      <c r="L113" s="45"/>
      <c r="M113" s="46">
        <v>1234589.53</v>
      </c>
    </row>
    <row r="114" spans="1:13" ht="15.75" customHeight="1" x14ac:dyDescent="0.2">
      <c r="A114" s="39" t="s">
        <v>276</v>
      </c>
      <c r="B114" s="40" t="s">
        <v>277</v>
      </c>
      <c r="C114" s="39" t="s">
        <v>15</v>
      </c>
      <c r="D114" s="41" t="s">
        <v>37</v>
      </c>
      <c r="E114" s="39" t="s">
        <v>17</v>
      </c>
      <c r="F114" s="58" t="s">
        <v>47</v>
      </c>
      <c r="G114" s="43" t="s">
        <v>19</v>
      </c>
      <c r="H114" s="39"/>
      <c r="I114" s="44" t="str">
        <f t="shared" si="1"/>
        <v/>
      </c>
      <c r="J114" s="39"/>
      <c r="L114" s="45"/>
      <c r="M114" s="46">
        <v>1229865.6599999999</v>
      </c>
    </row>
    <row r="115" spans="1:13" ht="15.75" customHeight="1" x14ac:dyDescent="0.2">
      <c r="A115" s="39" t="s">
        <v>278</v>
      </c>
      <c r="B115" s="40" t="s">
        <v>279</v>
      </c>
      <c r="C115" s="39" t="s">
        <v>280</v>
      </c>
      <c r="D115" s="41" t="s">
        <v>16</v>
      </c>
      <c r="E115" s="39" t="s">
        <v>17</v>
      </c>
      <c r="F115" s="42" t="s">
        <v>18</v>
      </c>
      <c r="G115" s="43" t="s">
        <v>19</v>
      </c>
      <c r="H115" s="39"/>
      <c r="I115" s="44" t="str">
        <f t="shared" si="1"/>
        <v/>
      </c>
      <c r="J115" s="39"/>
      <c r="L115" s="45"/>
      <c r="M115" s="46">
        <v>1207798.1499999999</v>
      </c>
    </row>
    <row r="116" spans="1:13" ht="15.75" customHeight="1" x14ac:dyDescent="0.2">
      <c r="A116" s="47" t="s">
        <v>281</v>
      </c>
      <c r="B116" s="48" t="s">
        <v>282</v>
      </c>
      <c r="C116" s="47" t="s">
        <v>75</v>
      </c>
      <c r="D116" s="49" t="s">
        <v>51</v>
      </c>
      <c r="E116" s="47" t="s">
        <v>109</v>
      </c>
      <c r="F116" s="50" t="str">
        <f>HYPERLINK("https://opramachine.com/alaveteli_pro/info_requests/request_for_fsmc_bid_and_scoring_11","Link")</f>
        <v>Link</v>
      </c>
      <c r="G116" s="51" t="s">
        <v>283</v>
      </c>
      <c r="H116" s="52">
        <v>46125</v>
      </c>
      <c r="I116" s="44">
        <f t="shared" si="1"/>
        <v>46134</v>
      </c>
      <c r="J116" s="53">
        <v>46128</v>
      </c>
      <c r="K116" s="54" t="s">
        <v>284</v>
      </c>
      <c r="L116" s="55"/>
      <c r="M116" s="56">
        <v>1190559.32</v>
      </c>
    </row>
    <row r="117" spans="1:13" ht="15.75" customHeight="1" x14ac:dyDescent="0.2">
      <c r="A117" s="39" t="s">
        <v>285</v>
      </c>
      <c r="B117" s="40" t="s">
        <v>286</v>
      </c>
      <c r="C117" s="39" t="s">
        <v>32</v>
      </c>
      <c r="D117" s="41" t="s">
        <v>23</v>
      </c>
      <c r="E117" s="39" t="s">
        <v>17</v>
      </c>
      <c r="F117" s="42" t="s">
        <v>18</v>
      </c>
      <c r="G117" s="43" t="s">
        <v>19</v>
      </c>
      <c r="H117" s="39"/>
      <c r="I117" s="44" t="str">
        <f t="shared" si="1"/>
        <v/>
      </c>
      <c r="J117" s="39"/>
      <c r="L117" s="45"/>
      <c r="M117" s="46">
        <v>1160311.1299999999</v>
      </c>
    </row>
    <row r="118" spans="1:13" ht="15.75" customHeight="1" x14ac:dyDescent="0.2">
      <c r="A118" s="39" t="s">
        <v>287</v>
      </c>
      <c r="B118" s="40" t="s">
        <v>288</v>
      </c>
      <c r="C118" s="39" t="s">
        <v>36</v>
      </c>
      <c r="D118" s="41" t="s">
        <v>29</v>
      </c>
      <c r="E118" s="39" t="s">
        <v>17</v>
      </c>
      <c r="F118" s="58" t="s">
        <v>47</v>
      </c>
      <c r="G118" s="43" t="s">
        <v>19</v>
      </c>
      <c r="H118" s="39"/>
      <c r="I118" s="44" t="str">
        <f t="shared" si="1"/>
        <v/>
      </c>
      <c r="J118" s="39"/>
      <c r="L118" s="45"/>
      <c r="M118" s="46">
        <v>1158328.6200000001</v>
      </c>
    </row>
    <row r="119" spans="1:13" ht="15.75" customHeight="1" x14ac:dyDescent="0.2">
      <c r="A119" s="39" t="s">
        <v>289</v>
      </c>
      <c r="B119" s="40" t="s">
        <v>290</v>
      </c>
      <c r="C119" s="39" t="s">
        <v>36</v>
      </c>
      <c r="D119" s="41" t="s">
        <v>29</v>
      </c>
      <c r="E119" s="39" t="s">
        <v>17</v>
      </c>
      <c r="F119" s="42" t="s">
        <v>18</v>
      </c>
      <c r="G119" s="43" t="s">
        <v>19</v>
      </c>
      <c r="H119" s="39"/>
      <c r="I119" s="44" t="str">
        <f t="shared" si="1"/>
        <v/>
      </c>
      <c r="J119" s="39"/>
      <c r="L119" s="45"/>
      <c r="M119" s="46">
        <v>1155560.1299999999</v>
      </c>
    </row>
    <row r="120" spans="1:13" ht="15.75" customHeight="1" x14ac:dyDescent="0.2">
      <c r="A120" s="47" t="s">
        <v>291</v>
      </c>
      <c r="B120" s="48" t="s">
        <v>292</v>
      </c>
      <c r="C120" s="47" t="s">
        <v>138</v>
      </c>
      <c r="D120" s="49" t="s">
        <v>126</v>
      </c>
      <c r="E120" s="47" t="s">
        <v>17</v>
      </c>
      <c r="F120" s="59" t="s">
        <v>47</v>
      </c>
      <c r="G120" s="43" t="s">
        <v>19</v>
      </c>
      <c r="H120" s="47"/>
      <c r="I120" s="44" t="str">
        <f t="shared" si="1"/>
        <v/>
      </c>
      <c r="J120" s="47"/>
      <c r="L120" s="55"/>
      <c r="M120" s="56">
        <v>1153327.75</v>
      </c>
    </row>
    <row r="121" spans="1:13" ht="15.75" customHeight="1" x14ac:dyDescent="0.2">
      <c r="A121" s="39" t="s">
        <v>293</v>
      </c>
      <c r="B121" s="40" t="s">
        <v>294</v>
      </c>
      <c r="C121" s="39" t="s">
        <v>242</v>
      </c>
      <c r="D121" s="41" t="s">
        <v>29</v>
      </c>
      <c r="E121" s="39" t="s">
        <v>17</v>
      </c>
      <c r="F121" s="42" t="s">
        <v>18</v>
      </c>
      <c r="G121" s="43" t="s">
        <v>19</v>
      </c>
      <c r="H121" s="39"/>
      <c r="I121" s="44" t="str">
        <f t="shared" si="1"/>
        <v/>
      </c>
      <c r="J121" s="39"/>
      <c r="L121" s="45"/>
      <c r="M121" s="46">
        <v>1152016.3999999999</v>
      </c>
    </row>
    <row r="122" spans="1:13" ht="15.75" customHeight="1" x14ac:dyDescent="0.2">
      <c r="A122" s="47" t="s">
        <v>295</v>
      </c>
      <c r="B122" s="48" t="s">
        <v>296</v>
      </c>
      <c r="C122" s="47" t="s">
        <v>92</v>
      </c>
      <c r="D122" s="49" t="s">
        <v>126</v>
      </c>
      <c r="E122" s="47" t="s">
        <v>17</v>
      </c>
      <c r="F122" s="59" t="s">
        <v>47</v>
      </c>
      <c r="G122" s="43" t="s">
        <v>19</v>
      </c>
      <c r="H122" s="47"/>
      <c r="I122" s="44" t="str">
        <f t="shared" si="1"/>
        <v/>
      </c>
      <c r="J122" s="47"/>
      <c r="L122" s="55"/>
      <c r="M122" s="56">
        <v>1142417.8</v>
      </c>
    </row>
    <row r="123" spans="1:13" ht="15.75" customHeight="1" x14ac:dyDescent="0.2">
      <c r="A123" s="47" t="s">
        <v>297</v>
      </c>
      <c r="B123" s="48" t="s">
        <v>298</v>
      </c>
      <c r="C123" s="47" t="s">
        <v>22</v>
      </c>
      <c r="D123" s="49" t="s">
        <v>23</v>
      </c>
      <c r="E123" s="47" t="s">
        <v>17</v>
      </c>
      <c r="F123" s="59" t="s">
        <v>47</v>
      </c>
      <c r="G123" s="43" t="s">
        <v>19</v>
      </c>
      <c r="H123" s="47"/>
      <c r="I123" s="44" t="str">
        <f t="shared" si="1"/>
        <v/>
      </c>
      <c r="J123" s="47"/>
      <c r="L123" s="55"/>
      <c r="M123" s="56">
        <v>1141616.9099999999</v>
      </c>
    </row>
    <row r="124" spans="1:13" ht="15.75" customHeight="1" x14ac:dyDescent="0.2">
      <c r="A124" s="39" t="s">
        <v>299</v>
      </c>
      <c r="B124" s="40" t="s">
        <v>300</v>
      </c>
      <c r="C124" s="39" t="s">
        <v>106</v>
      </c>
      <c r="D124" s="41" t="s">
        <v>29</v>
      </c>
      <c r="E124" s="39" t="s">
        <v>17</v>
      </c>
      <c r="F124" s="58" t="s">
        <v>47</v>
      </c>
      <c r="G124" s="43" t="s">
        <v>19</v>
      </c>
      <c r="H124" s="39"/>
      <c r="I124" s="44" t="str">
        <f t="shared" si="1"/>
        <v/>
      </c>
      <c r="J124" s="39"/>
      <c r="L124" s="45"/>
      <c r="M124" s="46">
        <v>1135027.3</v>
      </c>
    </row>
    <row r="125" spans="1:13" ht="15.75" customHeight="1" x14ac:dyDescent="0.2">
      <c r="A125" s="47" t="s">
        <v>301</v>
      </c>
      <c r="B125" s="48" t="s">
        <v>302</v>
      </c>
      <c r="C125" s="47" t="s">
        <v>75</v>
      </c>
      <c r="D125" s="49" t="s">
        <v>37</v>
      </c>
      <c r="E125" s="47" t="s">
        <v>17</v>
      </c>
      <c r="F125" s="59" t="s">
        <v>47</v>
      </c>
      <c r="G125" s="43" t="s">
        <v>19</v>
      </c>
      <c r="H125" s="47"/>
      <c r="I125" s="44" t="str">
        <f t="shared" si="1"/>
        <v/>
      </c>
      <c r="J125" s="47"/>
      <c r="L125" s="55"/>
      <c r="M125" s="56">
        <v>1123097.98</v>
      </c>
    </row>
    <row r="126" spans="1:13" ht="15.75" customHeight="1" x14ac:dyDescent="0.2">
      <c r="A126" s="47" t="s">
        <v>303</v>
      </c>
      <c r="B126" s="48" t="s">
        <v>304</v>
      </c>
      <c r="C126" s="47" t="s">
        <v>130</v>
      </c>
      <c r="D126" s="49" t="s">
        <v>126</v>
      </c>
      <c r="E126" s="47" t="s">
        <v>17</v>
      </c>
      <c r="F126" s="59" t="s">
        <v>47</v>
      </c>
      <c r="G126" s="43" t="s">
        <v>19</v>
      </c>
      <c r="H126" s="47"/>
      <c r="I126" s="44" t="str">
        <f t="shared" si="1"/>
        <v/>
      </c>
      <c r="J126" s="47"/>
      <c r="L126" s="55"/>
      <c r="M126" s="56">
        <v>1122854.8999999999</v>
      </c>
    </row>
    <row r="127" spans="1:13" ht="15.75" customHeight="1" x14ac:dyDescent="0.2">
      <c r="A127" s="47" t="s">
        <v>305</v>
      </c>
      <c r="B127" s="48" t="s">
        <v>306</v>
      </c>
      <c r="C127" s="47" t="s">
        <v>15</v>
      </c>
      <c r="D127" s="49" t="s">
        <v>37</v>
      </c>
      <c r="E127" s="47" t="s">
        <v>17</v>
      </c>
      <c r="F127" s="57" t="s">
        <v>18</v>
      </c>
      <c r="G127" s="43" t="s">
        <v>19</v>
      </c>
      <c r="H127" s="47"/>
      <c r="I127" s="44" t="str">
        <f t="shared" si="1"/>
        <v/>
      </c>
      <c r="J127" s="47"/>
      <c r="L127" s="55"/>
      <c r="M127" s="56">
        <v>1121681.17</v>
      </c>
    </row>
    <row r="128" spans="1:13" ht="15.75" customHeight="1" x14ac:dyDescent="0.2">
      <c r="A128" s="39" t="s">
        <v>307</v>
      </c>
      <c r="B128" s="40" t="s">
        <v>308</v>
      </c>
      <c r="C128" s="39" t="s">
        <v>62</v>
      </c>
      <c r="D128" s="41" t="s">
        <v>29</v>
      </c>
      <c r="E128" s="39" t="s">
        <v>17</v>
      </c>
      <c r="F128" s="42" t="s">
        <v>18</v>
      </c>
      <c r="G128" s="43" t="s">
        <v>19</v>
      </c>
      <c r="H128" s="39"/>
      <c r="I128" s="44" t="str">
        <f t="shared" si="1"/>
        <v/>
      </c>
      <c r="J128" s="39"/>
      <c r="L128" s="45"/>
      <c r="M128" s="46">
        <v>1120708.67</v>
      </c>
    </row>
    <row r="129" spans="1:13" ht="15.75" customHeight="1" x14ac:dyDescent="0.2">
      <c r="A129" s="39" t="s">
        <v>309</v>
      </c>
      <c r="B129" s="40" t="s">
        <v>310</v>
      </c>
      <c r="C129" s="39" t="s">
        <v>40</v>
      </c>
      <c r="D129" s="41" t="s">
        <v>135</v>
      </c>
      <c r="E129" s="39" t="s">
        <v>17</v>
      </c>
      <c r="F129" s="58" t="s">
        <v>47</v>
      </c>
      <c r="G129" s="43" t="s">
        <v>19</v>
      </c>
      <c r="H129" s="39"/>
      <c r="I129" s="44" t="str">
        <f t="shared" si="1"/>
        <v/>
      </c>
      <c r="J129" s="39"/>
      <c r="L129" s="45"/>
      <c r="M129" s="46">
        <v>1120078.8999999999</v>
      </c>
    </row>
    <row r="130" spans="1:13" ht="15.75" customHeight="1" x14ac:dyDescent="0.2">
      <c r="A130" s="47" t="s">
        <v>311</v>
      </c>
      <c r="B130" s="48" t="s">
        <v>312</v>
      </c>
      <c r="C130" s="47" t="s">
        <v>75</v>
      </c>
      <c r="D130" s="49" t="s">
        <v>114</v>
      </c>
      <c r="E130" s="47" t="s">
        <v>109</v>
      </c>
      <c r="F130" s="59" t="s">
        <v>47</v>
      </c>
      <c r="G130" s="43" t="s">
        <v>19</v>
      </c>
      <c r="H130" s="47"/>
      <c r="I130" s="44" t="str">
        <f t="shared" ref="I130:I193" si="2">IF(H130="","",H130+9)</f>
        <v/>
      </c>
      <c r="J130" s="47"/>
      <c r="L130" s="55"/>
      <c r="M130" s="56">
        <v>1107595.94</v>
      </c>
    </row>
    <row r="131" spans="1:13" ht="15.75" customHeight="1" x14ac:dyDescent="0.2">
      <c r="A131" s="47" t="s">
        <v>313</v>
      </c>
      <c r="B131" s="48" t="s">
        <v>314</v>
      </c>
      <c r="C131" s="47" t="s">
        <v>75</v>
      </c>
      <c r="D131" s="49" t="s">
        <v>29</v>
      </c>
      <c r="E131" s="47" t="s">
        <v>17</v>
      </c>
      <c r="F131" s="57" t="s">
        <v>18</v>
      </c>
      <c r="G131" s="43" t="s">
        <v>19</v>
      </c>
      <c r="H131" s="47"/>
      <c r="I131" s="44" t="str">
        <f t="shared" si="2"/>
        <v/>
      </c>
      <c r="J131" s="47"/>
      <c r="L131" s="55"/>
      <c r="M131" s="56">
        <v>1095731.9099999999</v>
      </c>
    </row>
    <row r="132" spans="1:13" ht="15.75" customHeight="1" x14ac:dyDescent="0.2">
      <c r="A132" s="39" t="s">
        <v>315</v>
      </c>
      <c r="B132" s="40" t="s">
        <v>316</v>
      </c>
      <c r="C132" s="39" t="s">
        <v>28</v>
      </c>
      <c r="D132" s="41" t="s">
        <v>29</v>
      </c>
      <c r="E132" s="39" t="s">
        <v>17</v>
      </c>
      <c r="F132" s="58" t="s">
        <v>47</v>
      </c>
      <c r="G132" s="43" t="s">
        <v>19</v>
      </c>
      <c r="H132" s="39"/>
      <c r="I132" s="44" t="str">
        <f t="shared" si="2"/>
        <v/>
      </c>
      <c r="J132" s="39"/>
      <c r="L132" s="45"/>
      <c r="M132" s="46">
        <v>1082338</v>
      </c>
    </row>
    <row r="133" spans="1:13" ht="15.75" customHeight="1" x14ac:dyDescent="0.2">
      <c r="A133" s="47" t="s">
        <v>317</v>
      </c>
      <c r="B133" s="48" t="s">
        <v>318</v>
      </c>
      <c r="C133" s="47" t="s">
        <v>138</v>
      </c>
      <c r="D133" s="49" t="s">
        <v>51</v>
      </c>
      <c r="E133" s="47" t="s">
        <v>17</v>
      </c>
      <c r="F133" s="57" t="s">
        <v>18</v>
      </c>
      <c r="G133" s="43" t="s">
        <v>19</v>
      </c>
      <c r="H133" s="47"/>
      <c r="I133" s="44" t="str">
        <f t="shared" si="2"/>
        <v/>
      </c>
      <c r="J133" s="47"/>
      <c r="L133" s="55"/>
      <c r="M133" s="56">
        <v>1079650.98</v>
      </c>
    </row>
    <row r="134" spans="1:13" ht="15.75" customHeight="1" x14ac:dyDescent="0.2">
      <c r="A134" s="47" t="s">
        <v>319</v>
      </c>
      <c r="B134" s="48" t="s">
        <v>320</v>
      </c>
      <c r="C134" s="47" t="s">
        <v>280</v>
      </c>
      <c r="D134" s="49" t="s">
        <v>16</v>
      </c>
      <c r="E134" s="47" t="s">
        <v>17</v>
      </c>
      <c r="F134" s="59" t="s">
        <v>47</v>
      </c>
      <c r="G134" s="43" t="s">
        <v>19</v>
      </c>
      <c r="H134" s="47"/>
      <c r="I134" s="44" t="str">
        <f t="shared" si="2"/>
        <v/>
      </c>
      <c r="J134" s="47"/>
      <c r="L134" s="55"/>
      <c r="M134" s="56">
        <v>1071319.02</v>
      </c>
    </row>
    <row r="135" spans="1:13" ht="15.75" customHeight="1" x14ac:dyDescent="0.2">
      <c r="A135" s="39" t="s">
        <v>321</v>
      </c>
      <c r="B135" s="40" t="s">
        <v>322</v>
      </c>
      <c r="C135" s="39" t="s">
        <v>80</v>
      </c>
      <c r="D135" s="41" t="s">
        <v>37</v>
      </c>
      <c r="E135" s="39" t="s">
        <v>17</v>
      </c>
      <c r="F135" s="42" t="s">
        <v>18</v>
      </c>
      <c r="G135" s="43" t="s">
        <v>19</v>
      </c>
      <c r="H135" s="39"/>
      <c r="I135" s="44" t="str">
        <f t="shared" si="2"/>
        <v/>
      </c>
      <c r="J135" s="39"/>
      <c r="L135" s="45"/>
      <c r="M135" s="46">
        <v>1067308.55</v>
      </c>
    </row>
    <row r="136" spans="1:13" ht="15.75" customHeight="1" x14ac:dyDescent="0.2">
      <c r="A136" s="47" t="s">
        <v>323</v>
      </c>
      <c r="B136" s="48" t="s">
        <v>324</v>
      </c>
      <c r="C136" s="47" t="s">
        <v>59</v>
      </c>
      <c r="D136" s="49" t="s">
        <v>126</v>
      </c>
      <c r="E136" s="47" t="s">
        <v>109</v>
      </c>
      <c r="F136" s="50" t="str">
        <f>HYPERLINK("https://opramachine.com/alaveteli_pro/info_requests/request_for_fsmc_bid_and_scoring_7","Link")</f>
        <v>Link</v>
      </c>
      <c r="G136" s="51" t="s">
        <v>283</v>
      </c>
      <c r="H136" s="52">
        <v>46125</v>
      </c>
      <c r="I136" s="44">
        <f t="shared" si="2"/>
        <v>46134</v>
      </c>
      <c r="J136" s="53">
        <v>46128</v>
      </c>
      <c r="K136" s="54" t="s">
        <v>325</v>
      </c>
      <c r="L136" s="55"/>
      <c r="M136" s="56">
        <v>1059998.4099999999</v>
      </c>
    </row>
    <row r="137" spans="1:13" ht="15.75" customHeight="1" x14ac:dyDescent="0.2">
      <c r="A137" s="47" t="s">
        <v>326</v>
      </c>
      <c r="B137" s="48" t="s">
        <v>327</v>
      </c>
      <c r="C137" s="47" t="s">
        <v>62</v>
      </c>
      <c r="D137" s="49" t="s">
        <v>16</v>
      </c>
      <c r="E137" s="47" t="s">
        <v>17</v>
      </c>
      <c r="F137" s="59" t="s">
        <v>47</v>
      </c>
      <c r="G137" s="43" t="s">
        <v>19</v>
      </c>
      <c r="H137" s="47"/>
      <c r="I137" s="44" t="str">
        <f t="shared" si="2"/>
        <v/>
      </c>
      <c r="J137" s="47"/>
      <c r="L137" s="55"/>
      <c r="M137" s="56">
        <v>1044255.31</v>
      </c>
    </row>
    <row r="138" spans="1:13" ht="15.75" customHeight="1" x14ac:dyDescent="0.2">
      <c r="A138" s="47" t="s">
        <v>328</v>
      </c>
      <c r="B138" s="48" t="s">
        <v>329</v>
      </c>
      <c r="C138" s="47" t="s">
        <v>59</v>
      </c>
      <c r="D138" s="49" t="s">
        <v>29</v>
      </c>
      <c r="E138" s="47" t="s">
        <v>17</v>
      </c>
      <c r="F138" s="57" t="s">
        <v>18</v>
      </c>
      <c r="G138" s="43" t="s">
        <v>19</v>
      </c>
      <c r="H138" s="52">
        <v>46125</v>
      </c>
      <c r="I138" s="44">
        <f t="shared" si="2"/>
        <v>46134</v>
      </c>
      <c r="J138" s="47"/>
      <c r="L138" s="55"/>
      <c r="M138" s="56">
        <v>1043162.92</v>
      </c>
    </row>
    <row r="139" spans="1:13" ht="15.75" customHeight="1" x14ac:dyDescent="0.2">
      <c r="A139" s="39" t="s">
        <v>330</v>
      </c>
      <c r="B139" s="40" t="s">
        <v>331</v>
      </c>
      <c r="C139" s="39" t="s">
        <v>22</v>
      </c>
      <c r="D139" s="41" t="s">
        <v>332</v>
      </c>
      <c r="E139" s="39" t="s">
        <v>17</v>
      </c>
      <c r="F139" s="42" t="s">
        <v>18</v>
      </c>
      <c r="G139" s="43" t="s">
        <v>19</v>
      </c>
      <c r="H139" s="39"/>
      <c r="I139" s="44" t="str">
        <f t="shared" si="2"/>
        <v/>
      </c>
      <c r="J139" s="39"/>
      <c r="L139" s="45"/>
      <c r="M139" s="46">
        <v>1020991.1</v>
      </c>
    </row>
    <row r="140" spans="1:13" ht="15.75" customHeight="1" x14ac:dyDescent="0.2">
      <c r="A140" s="47" t="s">
        <v>333</v>
      </c>
      <c r="B140" s="48" t="s">
        <v>334</v>
      </c>
      <c r="C140" s="47" t="s">
        <v>40</v>
      </c>
      <c r="D140" s="49" t="s">
        <v>37</v>
      </c>
      <c r="E140" s="47" t="s">
        <v>17</v>
      </c>
      <c r="F140" s="59" t="s">
        <v>47</v>
      </c>
      <c r="G140" s="43" t="s">
        <v>19</v>
      </c>
      <c r="H140" s="47"/>
      <c r="I140" s="44" t="str">
        <f t="shared" si="2"/>
        <v/>
      </c>
      <c r="J140" s="47"/>
      <c r="L140" s="55"/>
      <c r="M140" s="56">
        <v>1017834.63</v>
      </c>
    </row>
    <row r="141" spans="1:13" ht="15.75" customHeight="1" x14ac:dyDescent="0.2">
      <c r="A141" s="47" t="s">
        <v>335</v>
      </c>
      <c r="B141" s="48" t="s">
        <v>336</v>
      </c>
      <c r="C141" s="47" t="s">
        <v>62</v>
      </c>
      <c r="D141" s="49" t="s">
        <v>29</v>
      </c>
      <c r="E141" s="47" t="s">
        <v>17</v>
      </c>
      <c r="F141" s="57" t="s">
        <v>18</v>
      </c>
      <c r="G141" s="43" t="s">
        <v>19</v>
      </c>
      <c r="H141" s="47"/>
      <c r="I141" s="44" t="str">
        <f t="shared" si="2"/>
        <v/>
      </c>
      <c r="J141" s="47"/>
      <c r="L141" s="55"/>
      <c r="M141" s="56">
        <v>1015922.42</v>
      </c>
    </row>
    <row r="142" spans="1:13" ht="15.75" customHeight="1" x14ac:dyDescent="0.2">
      <c r="A142" s="39" t="s">
        <v>337</v>
      </c>
      <c r="B142" s="40" t="s">
        <v>338</v>
      </c>
      <c r="C142" s="39" t="s">
        <v>233</v>
      </c>
      <c r="D142" s="41" t="s">
        <v>97</v>
      </c>
      <c r="E142" s="39" t="s">
        <v>17</v>
      </c>
      <c r="F142" s="58" t="s">
        <v>47</v>
      </c>
      <c r="G142" s="43" t="s">
        <v>19</v>
      </c>
      <c r="H142" s="39"/>
      <c r="I142" s="44" t="str">
        <f t="shared" si="2"/>
        <v/>
      </c>
      <c r="J142" s="39"/>
      <c r="L142" s="45"/>
      <c r="M142" s="46">
        <v>1011545.21</v>
      </c>
    </row>
    <row r="143" spans="1:13" ht="15.75" customHeight="1" x14ac:dyDescent="0.2">
      <c r="A143" s="47" t="s">
        <v>339</v>
      </c>
      <c r="B143" s="48" t="s">
        <v>340</v>
      </c>
      <c r="C143" s="47" t="s">
        <v>32</v>
      </c>
      <c r="D143" s="49" t="s">
        <v>332</v>
      </c>
      <c r="E143" s="47" t="s">
        <v>17</v>
      </c>
      <c r="F143" s="59" t="s">
        <v>47</v>
      </c>
      <c r="G143" s="43" t="s">
        <v>19</v>
      </c>
      <c r="H143" s="47"/>
      <c r="I143" s="44" t="str">
        <f t="shared" si="2"/>
        <v/>
      </c>
      <c r="J143" s="47"/>
      <c r="L143" s="55"/>
      <c r="M143" s="56">
        <v>1008454.77</v>
      </c>
    </row>
    <row r="144" spans="1:13" ht="15.75" customHeight="1" x14ac:dyDescent="0.2">
      <c r="A144" s="39" t="s">
        <v>341</v>
      </c>
      <c r="B144" s="40" t="s">
        <v>342</v>
      </c>
      <c r="C144" s="39" t="s">
        <v>59</v>
      </c>
      <c r="D144" s="41" t="s">
        <v>126</v>
      </c>
      <c r="E144" s="39" t="s">
        <v>17</v>
      </c>
      <c r="F144" s="42" t="s">
        <v>18</v>
      </c>
      <c r="G144" s="43" t="s">
        <v>19</v>
      </c>
      <c r="H144" s="39"/>
      <c r="I144" s="44" t="str">
        <f t="shared" si="2"/>
        <v/>
      </c>
      <c r="J144" s="39"/>
      <c r="L144" s="45"/>
      <c r="M144" s="46">
        <v>985585.66</v>
      </c>
    </row>
    <row r="145" spans="1:13" ht="15.75" customHeight="1" x14ac:dyDescent="0.2">
      <c r="A145" s="39" t="s">
        <v>343</v>
      </c>
      <c r="B145" s="40" t="s">
        <v>344</v>
      </c>
      <c r="C145" s="39" t="s">
        <v>80</v>
      </c>
      <c r="D145" s="41" t="s">
        <v>23</v>
      </c>
      <c r="E145" s="39" t="s">
        <v>17</v>
      </c>
      <c r="F145" s="58" t="s">
        <v>47</v>
      </c>
      <c r="G145" s="43" t="s">
        <v>19</v>
      </c>
      <c r="H145" s="39"/>
      <c r="I145" s="44" t="str">
        <f t="shared" si="2"/>
        <v/>
      </c>
      <c r="J145" s="39"/>
      <c r="L145" s="45"/>
      <c r="M145" s="46">
        <v>949206.16</v>
      </c>
    </row>
    <row r="146" spans="1:13" ht="15.75" customHeight="1" x14ac:dyDescent="0.2">
      <c r="A146" s="39" t="s">
        <v>345</v>
      </c>
      <c r="B146" s="40" t="s">
        <v>346</v>
      </c>
      <c r="C146" s="39" t="s">
        <v>75</v>
      </c>
      <c r="D146" s="41" t="s">
        <v>51</v>
      </c>
      <c r="E146" s="39" t="s">
        <v>109</v>
      </c>
      <c r="F146" s="42" t="s">
        <v>18</v>
      </c>
      <c r="G146" s="43" t="s">
        <v>19</v>
      </c>
      <c r="H146" s="39"/>
      <c r="I146" s="44" t="str">
        <f t="shared" si="2"/>
        <v/>
      </c>
      <c r="J146" s="39"/>
      <c r="L146" s="45"/>
      <c r="M146" s="46">
        <v>948179.75</v>
      </c>
    </row>
    <row r="147" spans="1:13" ht="15.75" customHeight="1" x14ac:dyDescent="0.2">
      <c r="A147" s="47" t="s">
        <v>347</v>
      </c>
      <c r="B147" s="48" t="s">
        <v>348</v>
      </c>
      <c r="C147" s="47" t="s">
        <v>106</v>
      </c>
      <c r="D147" s="49" t="s">
        <v>37</v>
      </c>
      <c r="E147" s="47" t="s">
        <v>17</v>
      </c>
      <c r="F147" s="59" t="s">
        <v>47</v>
      </c>
      <c r="G147" s="43" t="s">
        <v>19</v>
      </c>
      <c r="H147" s="47"/>
      <c r="I147" s="44" t="str">
        <f t="shared" si="2"/>
        <v/>
      </c>
      <c r="J147" s="47"/>
      <c r="L147" s="55"/>
      <c r="M147" s="56">
        <v>939097.67</v>
      </c>
    </row>
    <row r="148" spans="1:13" ht="15.75" customHeight="1" x14ac:dyDescent="0.2">
      <c r="A148" s="39" t="s">
        <v>349</v>
      </c>
      <c r="B148" s="40" t="s">
        <v>350</v>
      </c>
      <c r="C148" s="39" t="s">
        <v>138</v>
      </c>
      <c r="D148" s="41" t="s">
        <v>126</v>
      </c>
      <c r="E148" s="39" t="s">
        <v>17</v>
      </c>
      <c r="F148" s="42" t="s">
        <v>18</v>
      </c>
      <c r="G148" s="43" t="s">
        <v>19</v>
      </c>
      <c r="H148" s="39"/>
      <c r="I148" s="44" t="str">
        <f t="shared" si="2"/>
        <v/>
      </c>
      <c r="J148" s="39"/>
      <c r="L148" s="45"/>
      <c r="M148" s="46">
        <v>924741.07</v>
      </c>
    </row>
    <row r="149" spans="1:13" ht="15.75" customHeight="1" x14ac:dyDescent="0.2">
      <c r="A149" s="39" t="s">
        <v>351</v>
      </c>
      <c r="B149" s="40" t="s">
        <v>352</v>
      </c>
      <c r="C149" s="39" t="s">
        <v>36</v>
      </c>
      <c r="D149" s="41" t="s">
        <v>37</v>
      </c>
      <c r="E149" s="39" t="s">
        <v>17</v>
      </c>
      <c r="F149" s="58" t="s">
        <v>47</v>
      </c>
      <c r="G149" s="43" t="s">
        <v>19</v>
      </c>
      <c r="H149" s="39"/>
      <c r="I149" s="44" t="str">
        <f t="shared" si="2"/>
        <v/>
      </c>
      <c r="J149" s="39"/>
      <c r="L149" s="45"/>
      <c r="M149" s="46">
        <v>914466.81</v>
      </c>
    </row>
    <row r="150" spans="1:13" ht="15.75" customHeight="1" x14ac:dyDescent="0.2">
      <c r="A150" s="39" t="s">
        <v>353</v>
      </c>
      <c r="B150" s="40" t="s">
        <v>354</v>
      </c>
      <c r="C150" s="39" t="s">
        <v>138</v>
      </c>
      <c r="D150" s="41" t="s">
        <v>126</v>
      </c>
      <c r="E150" s="39" t="s">
        <v>17</v>
      </c>
      <c r="F150" s="42" t="s">
        <v>18</v>
      </c>
      <c r="G150" s="43" t="s">
        <v>19</v>
      </c>
      <c r="H150" s="39"/>
      <c r="I150" s="44" t="str">
        <f t="shared" si="2"/>
        <v/>
      </c>
      <c r="J150" s="39"/>
      <c r="L150" s="45"/>
      <c r="M150" s="46">
        <v>913976.19</v>
      </c>
    </row>
    <row r="151" spans="1:13" ht="15.75" customHeight="1" x14ac:dyDescent="0.2">
      <c r="A151" s="39" t="s">
        <v>355</v>
      </c>
      <c r="B151" s="40" t="s">
        <v>356</v>
      </c>
      <c r="C151" s="39" t="s">
        <v>130</v>
      </c>
      <c r="D151" s="41" t="s">
        <v>126</v>
      </c>
      <c r="E151" s="39" t="s">
        <v>17</v>
      </c>
      <c r="F151" s="58" t="s">
        <v>47</v>
      </c>
      <c r="G151" s="43" t="s">
        <v>19</v>
      </c>
      <c r="H151" s="39"/>
      <c r="I151" s="44" t="str">
        <f t="shared" si="2"/>
        <v/>
      </c>
      <c r="J151" s="39"/>
      <c r="L151" s="45"/>
      <c r="M151" s="46">
        <v>910800.82</v>
      </c>
    </row>
    <row r="152" spans="1:13" ht="15.75" customHeight="1" x14ac:dyDescent="0.2">
      <c r="A152" s="39" t="s">
        <v>357</v>
      </c>
      <c r="B152" s="40" t="s">
        <v>358</v>
      </c>
      <c r="C152" s="39" t="s">
        <v>28</v>
      </c>
      <c r="D152" s="41" t="s">
        <v>37</v>
      </c>
      <c r="E152" s="39" t="s">
        <v>17</v>
      </c>
      <c r="F152" s="42" t="s">
        <v>18</v>
      </c>
      <c r="G152" s="43" t="s">
        <v>19</v>
      </c>
      <c r="H152" s="39"/>
      <c r="I152" s="44" t="str">
        <f t="shared" si="2"/>
        <v/>
      </c>
      <c r="J152" s="39"/>
      <c r="L152" s="45"/>
      <c r="M152" s="46">
        <v>909038.68</v>
      </c>
    </row>
    <row r="153" spans="1:13" ht="15.75" customHeight="1" x14ac:dyDescent="0.2">
      <c r="A153" s="39" t="s">
        <v>359</v>
      </c>
      <c r="B153" s="40" t="s">
        <v>360</v>
      </c>
      <c r="C153" s="39" t="s">
        <v>130</v>
      </c>
      <c r="D153" s="41" t="s">
        <v>51</v>
      </c>
      <c r="E153" s="39" t="s">
        <v>109</v>
      </c>
      <c r="F153" s="58" t="s">
        <v>47</v>
      </c>
      <c r="G153" s="43" t="s">
        <v>19</v>
      </c>
      <c r="H153" s="39"/>
      <c r="I153" s="44" t="str">
        <f t="shared" si="2"/>
        <v/>
      </c>
      <c r="J153" s="39"/>
      <c r="L153" s="45"/>
      <c r="M153" s="46">
        <v>907735.13</v>
      </c>
    </row>
    <row r="154" spans="1:13" ht="15.75" customHeight="1" x14ac:dyDescent="0.2">
      <c r="A154" s="39" t="s">
        <v>361</v>
      </c>
      <c r="B154" s="40" t="s">
        <v>362</v>
      </c>
      <c r="C154" s="39" t="s">
        <v>130</v>
      </c>
      <c r="D154" s="41" t="s">
        <v>126</v>
      </c>
      <c r="E154" s="39" t="s">
        <v>17</v>
      </c>
      <c r="F154" s="58" t="s">
        <v>47</v>
      </c>
      <c r="G154" s="43" t="s">
        <v>19</v>
      </c>
      <c r="H154" s="39"/>
      <c r="I154" s="44" t="str">
        <f t="shared" si="2"/>
        <v/>
      </c>
      <c r="J154" s="39"/>
      <c r="L154" s="45"/>
      <c r="M154" s="46">
        <v>905070.92</v>
      </c>
    </row>
    <row r="155" spans="1:13" ht="15.75" customHeight="1" x14ac:dyDescent="0.2">
      <c r="A155" s="39" t="s">
        <v>363</v>
      </c>
      <c r="B155" s="40" t="s">
        <v>364</v>
      </c>
      <c r="C155" s="39" t="s">
        <v>54</v>
      </c>
      <c r="D155" s="41" t="s">
        <v>126</v>
      </c>
      <c r="E155" s="39" t="s">
        <v>17</v>
      </c>
      <c r="F155" s="42" t="s">
        <v>18</v>
      </c>
      <c r="G155" s="43" t="s">
        <v>19</v>
      </c>
      <c r="H155" s="39"/>
      <c r="I155" s="44" t="str">
        <f t="shared" si="2"/>
        <v/>
      </c>
      <c r="J155" s="39"/>
      <c r="L155" s="45"/>
      <c r="M155" s="46">
        <v>904058.76</v>
      </c>
    </row>
    <row r="156" spans="1:13" ht="15.75" customHeight="1" x14ac:dyDescent="0.2">
      <c r="A156" s="39" t="s">
        <v>365</v>
      </c>
      <c r="B156" s="40" t="s">
        <v>366</v>
      </c>
      <c r="C156" s="39" t="s">
        <v>62</v>
      </c>
      <c r="D156" s="41" t="s">
        <v>29</v>
      </c>
      <c r="E156" s="39" t="s">
        <v>17</v>
      </c>
      <c r="F156" s="42" t="s">
        <v>18</v>
      </c>
      <c r="G156" s="43" t="s">
        <v>19</v>
      </c>
      <c r="H156" s="39"/>
      <c r="I156" s="44" t="str">
        <f t="shared" si="2"/>
        <v/>
      </c>
      <c r="J156" s="39"/>
      <c r="L156" s="45"/>
      <c r="M156" s="46">
        <v>899826.52</v>
      </c>
    </row>
    <row r="157" spans="1:13" ht="15.75" customHeight="1" x14ac:dyDescent="0.2">
      <c r="A157" s="47" t="s">
        <v>367</v>
      </c>
      <c r="B157" s="48" t="s">
        <v>368</v>
      </c>
      <c r="C157" s="47" t="s">
        <v>32</v>
      </c>
      <c r="D157" s="49" t="s">
        <v>37</v>
      </c>
      <c r="E157" s="47" t="s">
        <v>17</v>
      </c>
      <c r="F157" s="57" t="s">
        <v>18</v>
      </c>
      <c r="G157" s="43" t="s">
        <v>19</v>
      </c>
      <c r="H157" s="47"/>
      <c r="I157" s="44" t="str">
        <f t="shared" si="2"/>
        <v/>
      </c>
      <c r="J157" s="47"/>
      <c r="L157" s="55"/>
      <c r="M157" s="56">
        <v>886338.19</v>
      </c>
    </row>
    <row r="158" spans="1:13" ht="15.75" customHeight="1" x14ac:dyDescent="0.2">
      <c r="A158" s="47" t="s">
        <v>369</v>
      </c>
      <c r="B158" s="48" t="s">
        <v>370</v>
      </c>
      <c r="C158" s="47" t="s">
        <v>130</v>
      </c>
      <c r="D158" s="49" t="s">
        <v>126</v>
      </c>
      <c r="E158" s="47" t="s">
        <v>17</v>
      </c>
      <c r="F158" s="59" t="s">
        <v>47</v>
      </c>
      <c r="G158" s="43" t="s">
        <v>19</v>
      </c>
      <c r="H158" s="47"/>
      <c r="I158" s="44" t="str">
        <f t="shared" si="2"/>
        <v/>
      </c>
      <c r="J158" s="47"/>
      <c r="L158" s="55"/>
      <c r="M158" s="56">
        <v>879606.17</v>
      </c>
    </row>
    <row r="159" spans="1:13" ht="15.75" customHeight="1" x14ac:dyDescent="0.2">
      <c r="A159" s="39" t="s">
        <v>371</v>
      </c>
      <c r="B159" s="40" t="s">
        <v>372</v>
      </c>
      <c r="C159" s="39" t="s">
        <v>80</v>
      </c>
      <c r="D159" s="41" t="s">
        <v>37</v>
      </c>
      <c r="E159" s="39" t="s">
        <v>17</v>
      </c>
      <c r="F159" s="58" t="s">
        <v>47</v>
      </c>
      <c r="G159" s="43" t="s">
        <v>19</v>
      </c>
      <c r="H159" s="39"/>
      <c r="I159" s="44" t="str">
        <f t="shared" si="2"/>
        <v/>
      </c>
      <c r="J159" s="39"/>
      <c r="L159" s="45"/>
      <c r="M159" s="46">
        <v>872501.82</v>
      </c>
    </row>
    <row r="160" spans="1:13" ht="15.75" customHeight="1" x14ac:dyDescent="0.2">
      <c r="A160" s="47" t="s">
        <v>373</v>
      </c>
      <c r="B160" s="48" t="s">
        <v>374</v>
      </c>
      <c r="C160" s="47" t="s">
        <v>40</v>
      </c>
      <c r="D160" s="49" t="s">
        <v>29</v>
      </c>
      <c r="E160" s="47" t="s">
        <v>17</v>
      </c>
      <c r="F160" s="59" t="s">
        <v>47</v>
      </c>
      <c r="G160" s="43" t="s">
        <v>19</v>
      </c>
      <c r="H160" s="47"/>
      <c r="I160" s="44" t="str">
        <f t="shared" si="2"/>
        <v/>
      </c>
      <c r="J160" s="47"/>
      <c r="L160" s="55"/>
      <c r="M160" s="56">
        <v>871971.38</v>
      </c>
    </row>
    <row r="161" spans="1:13" ht="15.75" customHeight="1" x14ac:dyDescent="0.2">
      <c r="A161" s="39" t="s">
        <v>375</v>
      </c>
      <c r="B161" s="40" t="s">
        <v>376</v>
      </c>
      <c r="C161" s="39" t="s">
        <v>62</v>
      </c>
      <c r="D161" s="41" t="s">
        <v>29</v>
      </c>
      <c r="E161" s="39" t="s">
        <v>17</v>
      </c>
      <c r="F161" s="58" t="s">
        <v>47</v>
      </c>
      <c r="G161" s="43" t="s">
        <v>19</v>
      </c>
      <c r="H161" s="39"/>
      <c r="I161" s="44" t="str">
        <f t="shared" si="2"/>
        <v/>
      </c>
      <c r="J161" s="39"/>
      <c r="L161" s="45"/>
      <c r="M161" s="46">
        <v>869999.17</v>
      </c>
    </row>
    <row r="162" spans="1:13" ht="15.75" customHeight="1" x14ac:dyDescent="0.2">
      <c r="A162" s="47" t="s">
        <v>377</v>
      </c>
      <c r="B162" s="48" t="s">
        <v>378</v>
      </c>
      <c r="C162" s="47" t="s">
        <v>28</v>
      </c>
      <c r="D162" s="49" t="s">
        <v>332</v>
      </c>
      <c r="E162" s="47" t="s">
        <v>17</v>
      </c>
      <c r="F162" s="57" t="s">
        <v>18</v>
      </c>
      <c r="G162" s="43" t="s">
        <v>19</v>
      </c>
      <c r="H162" s="47"/>
      <c r="I162" s="44" t="str">
        <f t="shared" si="2"/>
        <v/>
      </c>
      <c r="J162" s="47"/>
      <c r="L162" s="55"/>
      <c r="M162" s="56">
        <v>859052.2</v>
      </c>
    </row>
    <row r="163" spans="1:13" ht="15.75" customHeight="1" x14ac:dyDescent="0.2">
      <c r="A163" s="47" t="s">
        <v>379</v>
      </c>
      <c r="B163" s="48" t="s">
        <v>380</v>
      </c>
      <c r="C163" s="47" t="s">
        <v>106</v>
      </c>
      <c r="D163" s="49" t="s">
        <v>29</v>
      </c>
      <c r="E163" s="47" t="s">
        <v>17</v>
      </c>
      <c r="F163" s="59" t="s">
        <v>47</v>
      </c>
      <c r="G163" s="43" t="s">
        <v>19</v>
      </c>
      <c r="H163" s="47"/>
      <c r="I163" s="44" t="str">
        <f t="shared" si="2"/>
        <v/>
      </c>
      <c r="J163" s="47"/>
      <c r="L163" s="55"/>
      <c r="M163" s="56">
        <v>855345.64</v>
      </c>
    </row>
    <row r="164" spans="1:13" ht="15.75" customHeight="1" x14ac:dyDescent="0.2">
      <c r="A164" s="39" t="s">
        <v>381</v>
      </c>
      <c r="B164" s="40" t="s">
        <v>382</v>
      </c>
      <c r="C164" s="39" t="s">
        <v>62</v>
      </c>
      <c r="D164" s="41" t="s">
        <v>37</v>
      </c>
      <c r="E164" s="39" t="s">
        <v>17</v>
      </c>
      <c r="F164" s="58" t="s">
        <v>47</v>
      </c>
      <c r="G164" s="43" t="s">
        <v>19</v>
      </c>
      <c r="H164" s="39"/>
      <c r="I164" s="44" t="str">
        <f t="shared" si="2"/>
        <v/>
      </c>
      <c r="J164" s="39"/>
      <c r="L164" s="45"/>
      <c r="M164" s="46">
        <v>853944.33</v>
      </c>
    </row>
    <row r="165" spans="1:13" ht="15.75" customHeight="1" x14ac:dyDescent="0.2">
      <c r="A165" s="47" t="s">
        <v>383</v>
      </c>
      <c r="B165" s="48" t="s">
        <v>384</v>
      </c>
      <c r="C165" s="47" t="s">
        <v>130</v>
      </c>
      <c r="D165" s="49" t="s">
        <v>126</v>
      </c>
      <c r="E165" s="47" t="s">
        <v>17</v>
      </c>
      <c r="F165" s="59" t="s">
        <v>47</v>
      </c>
      <c r="G165" s="43" t="s">
        <v>19</v>
      </c>
      <c r="H165" s="47"/>
      <c r="I165" s="44" t="str">
        <f t="shared" si="2"/>
        <v/>
      </c>
      <c r="J165" s="47"/>
      <c r="L165" s="55"/>
      <c r="M165" s="56">
        <v>850070.56</v>
      </c>
    </row>
    <row r="166" spans="1:13" ht="15.75" customHeight="1" x14ac:dyDescent="0.2">
      <c r="A166" s="47" t="s">
        <v>385</v>
      </c>
      <c r="B166" s="48" t="s">
        <v>386</v>
      </c>
      <c r="C166" s="47" t="s">
        <v>62</v>
      </c>
      <c r="D166" s="49" t="s">
        <v>29</v>
      </c>
      <c r="E166" s="47" t="s">
        <v>17</v>
      </c>
      <c r="F166" s="59" t="s">
        <v>47</v>
      </c>
      <c r="G166" s="43" t="s">
        <v>19</v>
      </c>
      <c r="H166" s="47"/>
      <c r="I166" s="44" t="str">
        <f t="shared" si="2"/>
        <v/>
      </c>
      <c r="J166" s="47"/>
      <c r="L166" s="55"/>
      <c r="M166" s="56">
        <v>848607.71</v>
      </c>
    </row>
    <row r="167" spans="1:13" ht="15.75" customHeight="1" x14ac:dyDescent="0.2">
      <c r="A167" s="47" t="s">
        <v>387</v>
      </c>
      <c r="B167" s="48" t="s">
        <v>388</v>
      </c>
      <c r="C167" s="47" t="s">
        <v>75</v>
      </c>
      <c r="D167" s="49" t="s">
        <v>29</v>
      </c>
      <c r="E167" s="47" t="s">
        <v>17</v>
      </c>
      <c r="F167" s="57" t="s">
        <v>18</v>
      </c>
      <c r="G167" s="43" t="s">
        <v>19</v>
      </c>
      <c r="H167" s="47"/>
      <c r="I167" s="44" t="str">
        <f t="shared" si="2"/>
        <v/>
      </c>
      <c r="J167" s="47"/>
      <c r="L167" s="55"/>
      <c r="M167" s="56">
        <v>844339.18</v>
      </c>
    </row>
    <row r="168" spans="1:13" ht="15.75" customHeight="1" x14ac:dyDescent="0.2">
      <c r="A168" s="47" t="s">
        <v>389</v>
      </c>
      <c r="B168" s="48" t="s">
        <v>390</v>
      </c>
      <c r="C168" s="47" t="s">
        <v>138</v>
      </c>
      <c r="D168" s="49" t="s">
        <v>51</v>
      </c>
      <c r="E168" s="47" t="s">
        <v>109</v>
      </c>
      <c r="F168" s="57" t="s">
        <v>18</v>
      </c>
      <c r="G168" s="43" t="s">
        <v>19</v>
      </c>
      <c r="H168" s="47"/>
      <c r="I168" s="44" t="str">
        <f t="shared" si="2"/>
        <v/>
      </c>
      <c r="J168" s="47"/>
      <c r="L168" s="55"/>
      <c r="M168" s="56">
        <v>841464.11</v>
      </c>
    </row>
    <row r="169" spans="1:13" ht="15.75" customHeight="1" x14ac:dyDescent="0.2">
      <c r="A169" s="39" t="s">
        <v>391</v>
      </c>
      <c r="B169" s="40" t="s">
        <v>392</v>
      </c>
      <c r="C169" s="39" t="s">
        <v>28</v>
      </c>
      <c r="D169" s="41" t="s">
        <v>29</v>
      </c>
      <c r="E169" s="39" t="s">
        <v>17</v>
      </c>
      <c r="F169" s="42" t="s">
        <v>18</v>
      </c>
      <c r="G169" s="43" t="s">
        <v>19</v>
      </c>
      <c r="H169" s="39"/>
      <c r="I169" s="44" t="str">
        <f t="shared" si="2"/>
        <v/>
      </c>
      <c r="J169" s="39"/>
      <c r="L169" s="45"/>
      <c r="M169" s="46">
        <v>829826.62</v>
      </c>
    </row>
    <row r="170" spans="1:13" ht="15.75" customHeight="1" x14ac:dyDescent="0.2">
      <c r="A170" s="47" t="s">
        <v>393</v>
      </c>
      <c r="B170" s="48" t="s">
        <v>394</v>
      </c>
      <c r="C170" s="47" t="s">
        <v>62</v>
      </c>
      <c r="D170" s="49" t="s">
        <v>37</v>
      </c>
      <c r="E170" s="47" t="s">
        <v>17</v>
      </c>
      <c r="F170" s="59" t="s">
        <v>47</v>
      </c>
      <c r="G170" s="43" t="s">
        <v>19</v>
      </c>
      <c r="H170" s="47"/>
      <c r="I170" s="44" t="str">
        <f t="shared" si="2"/>
        <v/>
      </c>
      <c r="J170" s="47"/>
      <c r="L170" s="55"/>
      <c r="M170" s="56">
        <v>828356.88</v>
      </c>
    </row>
    <row r="171" spans="1:13" ht="15.75" customHeight="1" x14ac:dyDescent="0.2">
      <c r="A171" s="47" t="s">
        <v>395</v>
      </c>
      <c r="B171" s="48" t="s">
        <v>396</v>
      </c>
      <c r="C171" s="47" t="s">
        <v>62</v>
      </c>
      <c r="D171" s="49" t="s">
        <v>29</v>
      </c>
      <c r="E171" s="47" t="s">
        <v>17</v>
      </c>
      <c r="F171" s="59" t="s">
        <v>47</v>
      </c>
      <c r="G171" s="43" t="s">
        <v>19</v>
      </c>
      <c r="H171" s="47"/>
      <c r="I171" s="44" t="str">
        <f t="shared" si="2"/>
        <v/>
      </c>
      <c r="J171" s="47"/>
      <c r="L171" s="55"/>
      <c r="M171" s="56">
        <v>827789.05</v>
      </c>
    </row>
    <row r="172" spans="1:13" ht="15.75" customHeight="1" x14ac:dyDescent="0.2">
      <c r="A172" s="47" t="s">
        <v>397</v>
      </c>
      <c r="B172" s="48" t="s">
        <v>398</v>
      </c>
      <c r="C172" s="47" t="s">
        <v>40</v>
      </c>
      <c r="D172" s="49" t="s">
        <v>29</v>
      </c>
      <c r="E172" s="47" t="s">
        <v>17</v>
      </c>
      <c r="F172" s="57" t="s">
        <v>18</v>
      </c>
      <c r="G172" s="43" t="s">
        <v>19</v>
      </c>
      <c r="H172" s="47"/>
      <c r="I172" s="44" t="str">
        <f t="shared" si="2"/>
        <v/>
      </c>
      <c r="J172" s="47"/>
      <c r="L172" s="55"/>
      <c r="M172" s="56">
        <v>825118.57</v>
      </c>
    </row>
    <row r="173" spans="1:13" ht="15.75" customHeight="1" x14ac:dyDescent="0.2">
      <c r="A173" s="39" t="s">
        <v>399</v>
      </c>
      <c r="B173" s="40" t="s">
        <v>400</v>
      </c>
      <c r="C173" s="39" t="s">
        <v>59</v>
      </c>
      <c r="D173" s="41" t="s">
        <v>126</v>
      </c>
      <c r="E173" s="39" t="s">
        <v>17</v>
      </c>
      <c r="F173" s="42" t="s">
        <v>18</v>
      </c>
      <c r="G173" s="43" t="s">
        <v>19</v>
      </c>
      <c r="H173" s="44">
        <v>46125</v>
      </c>
      <c r="I173" s="44">
        <f t="shared" si="2"/>
        <v>46134</v>
      </c>
      <c r="J173" s="39"/>
      <c r="L173" s="45"/>
      <c r="M173" s="46">
        <v>822671</v>
      </c>
    </row>
    <row r="174" spans="1:13" ht="15.75" customHeight="1" x14ac:dyDescent="0.2">
      <c r="A174" s="39" t="s">
        <v>401</v>
      </c>
      <c r="B174" s="40" t="s">
        <v>402</v>
      </c>
      <c r="C174" s="39" t="s">
        <v>92</v>
      </c>
      <c r="D174" s="41" t="s">
        <v>126</v>
      </c>
      <c r="E174" s="39" t="s">
        <v>17</v>
      </c>
      <c r="F174" s="58" t="s">
        <v>47</v>
      </c>
      <c r="G174" s="43" t="s">
        <v>19</v>
      </c>
      <c r="H174" s="39"/>
      <c r="I174" s="44" t="str">
        <f t="shared" si="2"/>
        <v/>
      </c>
      <c r="J174" s="39"/>
      <c r="L174" s="45"/>
      <c r="M174" s="46">
        <v>813195.9</v>
      </c>
    </row>
    <row r="175" spans="1:13" ht="15.75" customHeight="1" x14ac:dyDescent="0.2">
      <c r="A175" s="39" t="s">
        <v>403</v>
      </c>
      <c r="B175" s="40" t="s">
        <v>404</v>
      </c>
      <c r="C175" s="39" t="s">
        <v>121</v>
      </c>
      <c r="D175" s="41" t="s">
        <v>37</v>
      </c>
      <c r="E175" s="39" t="s">
        <v>17</v>
      </c>
      <c r="F175" s="58" t="s">
        <v>47</v>
      </c>
      <c r="G175" s="43" t="s">
        <v>19</v>
      </c>
      <c r="H175" s="39"/>
      <c r="I175" s="44" t="str">
        <f t="shared" si="2"/>
        <v/>
      </c>
      <c r="J175" s="39"/>
      <c r="L175" s="45"/>
      <c r="M175" s="46">
        <v>809044.44</v>
      </c>
    </row>
    <row r="176" spans="1:13" ht="15.75" customHeight="1" x14ac:dyDescent="0.2">
      <c r="A176" s="39" t="s">
        <v>405</v>
      </c>
      <c r="B176" s="40" t="s">
        <v>406</v>
      </c>
      <c r="C176" s="39" t="s">
        <v>59</v>
      </c>
      <c r="D176" s="41" t="s">
        <v>37</v>
      </c>
      <c r="E176" s="39" t="s">
        <v>17</v>
      </c>
      <c r="F176" s="42" t="s">
        <v>18</v>
      </c>
      <c r="G176" s="43" t="s">
        <v>19</v>
      </c>
      <c r="H176" s="44">
        <v>46125</v>
      </c>
      <c r="I176" s="44">
        <f t="shared" si="2"/>
        <v>46134</v>
      </c>
      <c r="J176" s="39"/>
      <c r="L176" s="45"/>
      <c r="M176" s="46">
        <v>804515.53</v>
      </c>
    </row>
    <row r="177" spans="1:13" ht="15.75" customHeight="1" x14ac:dyDescent="0.2">
      <c r="A177" s="47" t="s">
        <v>407</v>
      </c>
      <c r="B177" s="48" t="s">
        <v>408</v>
      </c>
      <c r="C177" s="47" t="s">
        <v>273</v>
      </c>
      <c r="D177" s="49" t="s">
        <v>37</v>
      </c>
      <c r="E177" s="47" t="s">
        <v>17</v>
      </c>
      <c r="F177" s="59" t="s">
        <v>47</v>
      </c>
      <c r="G177" s="43" t="s">
        <v>19</v>
      </c>
      <c r="H177" s="47"/>
      <c r="I177" s="44" t="str">
        <f t="shared" si="2"/>
        <v/>
      </c>
      <c r="J177" s="47"/>
      <c r="L177" s="55"/>
      <c r="M177" s="56">
        <v>785722.11</v>
      </c>
    </row>
    <row r="178" spans="1:13" ht="15.75" customHeight="1" x14ac:dyDescent="0.2">
      <c r="A178" s="47" t="s">
        <v>409</v>
      </c>
      <c r="B178" s="48" t="s">
        <v>410</v>
      </c>
      <c r="C178" s="47" t="s">
        <v>92</v>
      </c>
      <c r="D178" s="49" t="s">
        <v>126</v>
      </c>
      <c r="E178" s="47" t="s">
        <v>17</v>
      </c>
      <c r="F178" s="59" t="s">
        <v>47</v>
      </c>
      <c r="G178" s="43" t="s">
        <v>19</v>
      </c>
      <c r="H178" s="47"/>
      <c r="I178" s="44" t="str">
        <f t="shared" si="2"/>
        <v/>
      </c>
      <c r="J178" s="47"/>
      <c r="L178" s="55"/>
      <c r="M178" s="56">
        <v>785539.78</v>
      </c>
    </row>
    <row r="179" spans="1:13" ht="15.75" customHeight="1" x14ac:dyDescent="0.2">
      <c r="A179" s="47" t="s">
        <v>411</v>
      </c>
      <c r="B179" s="48" t="s">
        <v>412</v>
      </c>
      <c r="C179" s="47" t="s">
        <v>32</v>
      </c>
      <c r="D179" s="49" t="s">
        <v>37</v>
      </c>
      <c r="E179" s="47" t="s">
        <v>17</v>
      </c>
      <c r="F179" s="59" t="s">
        <v>47</v>
      </c>
      <c r="G179" s="43" t="s">
        <v>19</v>
      </c>
      <c r="H179" s="47"/>
      <c r="I179" s="44" t="str">
        <f t="shared" si="2"/>
        <v/>
      </c>
      <c r="J179" s="47"/>
      <c r="L179" s="55"/>
      <c r="M179" s="56">
        <v>782810.57</v>
      </c>
    </row>
    <row r="180" spans="1:13" ht="15.75" customHeight="1" x14ac:dyDescent="0.2">
      <c r="A180" s="39" t="s">
        <v>413</v>
      </c>
      <c r="B180" s="40" t="s">
        <v>414</v>
      </c>
      <c r="C180" s="39" t="s">
        <v>59</v>
      </c>
      <c r="D180" s="41" t="s">
        <v>126</v>
      </c>
      <c r="E180" s="39" t="s">
        <v>17</v>
      </c>
      <c r="F180" s="58" t="s">
        <v>47</v>
      </c>
      <c r="G180" s="43" t="s">
        <v>19</v>
      </c>
      <c r="H180" s="44">
        <v>46125</v>
      </c>
      <c r="I180" s="44">
        <f t="shared" si="2"/>
        <v>46134</v>
      </c>
      <c r="J180" s="39"/>
      <c r="L180" s="45"/>
      <c r="M180" s="46">
        <v>781875.37</v>
      </c>
    </row>
    <row r="181" spans="1:13" ht="15.75" customHeight="1" x14ac:dyDescent="0.2">
      <c r="A181" s="47" t="s">
        <v>415</v>
      </c>
      <c r="B181" s="48" t="s">
        <v>416</v>
      </c>
      <c r="C181" s="47" t="s">
        <v>75</v>
      </c>
      <c r="D181" s="49" t="s">
        <v>16</v>
      </c>
      <c r="E181" s="47" t="s">
        <v>17</v>
      </c>
      <c r="F181" s="57" t="s">
        <v>18</v>
      </c>
      <c r="G181" s="43" t="s">
        <v>19</v>
      </c>
      <c r="H181" s="47"/>
      <c r="I181" s="44" t="str">
        <f t="shared" si="2"/>
        <v/>
      </c>
      <c r="J181" s="47"/>
      <c r="L181" s="55"/>
      <c r="M181" s="56">
        <v>776126.27</v>
      </c>
    </row>
    <row r="182" spans="1:13" ht="15.75" customHeight="1" x14ac:dyDescent="0.2">
      <c r="A182" s="39" t="s">
        <v>417</v>
      </c>
      <c r="B182" s="40" t="s">
        <v>418</v>
      </c>
      <c r="C182" s="39" t="s">
        <v>62</v>
      </c>
      <c r="D182" s="41" t="s">
        <v>29</v>
      </c>
      <c r="E182" s="39" t="s">
        <v>17</v>
      </c>
      <c r="F182" s="42" t="s">
        <v>18</v>
      </c>
      <c r="G182" s="43" t="s">
        <v>19</v>
      </c>
      <c r="H182" s="39"/>
      <c r="I182" s="44" t="str">
        <f t="shared" si="2"/>
        <v/>
      </c>
      <c r="J182" s="39"/>
      <c r="L182" s="45"/>
      <c r="M182" s="46">
        <v>772089.86</v>
      </c>
    </row>
    <row r="183" spans="1:13" ht="15.75" customHeight="1" x14ac:dyDescent="0.2">
      <c r="A183" s="39" t="s">
        <v>419</v>
      </c>
      <c r="B183" s="40" t="s">
        <v>420</v>
      </c>
      <c r="C183" s="39" t="s">
        <v>121</v>
      </c>
      <c r="D183" s="41" t="s">
        <v>37</v>
      </c>
      <c r="E183" s="39" t="s">
        <v>17</v>
      </c>
      <c r="F183" s="58" t="s">
        <v>47</v>
      </c>
      <c r="G183" s="43" t="s">
        <v>19</v>
      </c>
      <c r="H183" s="39"/>
      <c r="I183" s="44" t="str">
        <f t="shared" si="2"/>
        <v/>
      </c>
      <c r="J183" s="39"/>
      <c r="L183" s="45"/>
      <c r="M183" s="46">
        <v>767225.51</v>
      </c>
    </row>
    <row r="184" spans="1:13" ht="15.75" customHeight="1" x14ac:dyDescent="0.2">
      <c r="A184" s="39" t="s">
        <v>421</v>
      </c>
      <c r="B184" s="40" t="s">
        <v>422</v>
      </c>
      <c r="C184" s="39" t="s">
        <v>130</v>
      </c>
      <c r="D184" s="41" t="s">
        <v>126</v>
      </c>
      <c r="E184" s="39" t="s">
        <v>17</v>
      </c>
      <c r="F184" s="58" t="s">
        <v>47</v>
      </c>
      <c r="G184" s="43" t="s">
        <v>19</v>
      </c>
      <c r="H184" s="39"/>
      <c r="I184" s="44" t="str">
        <f t="shared" si="2"/>
        <v/>
      </c>
      <c r="J184" s="39"/>
      <c r="L184" s="45"/>
      <c r="M184" s="46">
        <v>759843.83999999997</v>
      </c>
    </row>
    <row r="185" spans="1:13" ht="15.75" customHeight="1" x14ac:dyDescent="0.2">
      <c r="A185" s="39" t="s">
        <v>423</v>
      </c>
      <c r="B185" s="40" t="s">
        <v>424</v>
      </c>
      <c r="C185" s="39" t="s">
        <v>138</v>
      </c>
      <c r="D185" s="41" t="s">
        <v>126</v>
      </c>
      <c r="E185" s="39" t="s">
        <v>17</v>
      </c>
      <c r="F185" s="42" t="s">
        <v>18</v>
      </c>
      <c r="G185" s="43" t="s">
        <v>19</v>
      </c>
      <c r="H185" s="39"/>
      <c r="I185" s="44" t="str">
        <f t="shared" si="2"/>
        <v/>
      </c>
      <c r="J185" s="39"/>
      <c r="L185" s="45"/>
      <c r="M185" s="46">
        <v>752221.3</v>
      </c>
    </row>
    <row r="186" spans="1:13" ht="15.75" customHeight="1" x14ac:dyDescent="0.2">
      <c r="A186" s="47" t="s">
        <v>425</v>
      </c>
      <c r="B186" s="48" t="s">
        <v>426</v>
      </c>
      <c r="C186" s="47" t="s">
        <v>427</v>
      </c>
      <c r="D186" s="49" t="s">
        <v>37</v>
      </c>
      <c r="E186" s="47" t="s">
        <v>17</v>
      </c>
      <c r="F186" s="57" t="s">
        <v>18</v>
      </c>
      <c r="G186" s="43" t="s">
        <v>19</v>
      </c>
      <c r="H186" s="47"/>
      <c r="I186" s="44" t="str">
        <f t="shared" si="2"/>
        <v/>
      </c>
      <c r="J186" s="47"/>
      <c r="L186" s="55"/>
      <c r="M186" s="56">
        <v>750128.39</v>
      </c>
    </row>
    <row r="187" spans="1:13" ht="15.75" customHeight="1" x14ac:dyDescent="0.2">
      <c r="A187" s="47" t="s">
        <v>428</v>
      </c>
      <c r="B187" s="48" t="s">
        <v>429</v>
      </c>
      <c r="C187" s="47" t="s">
        <v>50</v>
      </c>
      <c r="D187" s="49" t="s">
        <v>126</v>
      </c>
      <c r="E187" s="47" t="s">
        <v>17</v>
      </c>
      <c r="F187" s="59" t="s">
        <v>47</v>
      </c>
      <c r="G187" s="43" t="s">
        <v>19</v>
      </c>
      <c r="H187" s="47"/>
      <c r="I187" s="44" t="str">
        <f t="shared" si="2"/>
        <v/>
      </c>
      <c r="J187" s="47"/>
      <c r="L187" s="55"/>
      <c r="M187" s="56">
        <v>748996</v>
      </c>
    </row>
    <row r="188" spans="1:13" ht="15.75" customHeight="1" x14ac:dyDescent="0.2">
      <c r="A188" s="39" t="s">
        <v>430</v>
      </c>
      <c r="B188" s="40" t="s">
        <v>431</v>
      </c>
      <c r="C188" s="39" t="s">
        <v>130</v>
      </c>
      <c r="D188" s="41" t="s">
        <v>126</v>
      </c>
      <c r="E188" s="39" t="s">
        <v>17</v>
      </c>
      <c r="F188" s="58" t="s">
        <v>47</v>
      </c>
      <c r="G188" s="43" t="s">
        <v>19</v>
      </c>
      <c r="H188" s="39"/>
      <c r="I188" s="44" t="str">
        <f t="shared" si="2"/>
        <v/>
      </c>
      <c r="J188" s="39"/>
      <c r="L188" s="45"/>
      <c r="M188" s="46">
        <v>739062.5</v>
      </c>
    </row>
    <row r="189" spans="1:13" ht="15.75" customHeight="1" x14ac:dyDescent="0.2">
      <c r="A189" s="47" t="s">
        <v>432</v>
      </c>
      <c r="B189" s="48" t="s">
        <v>433</v>
      </c>
      <c r="C189" s="47" t="s">
        <v>92</v>
      </c>
      <c r="D189" s="49" t="s">
        <v>126</v>
      </c>
      <c r="E189" s="47" t="s">
        <v>17</v>
      </c>
      <c r="F189" s="59" t="s">
        <v>47</v>
      </c>
      <c r="G189" s="43" t="s">
        <v>19</v>
      </c>
      <c r="H189" s="47"/>
      <c r="I189" s="44" t="str">
        <f t="shared" si="2"/>
        <v/>
      </c>
      <c r="J189" s="47"/>
      <c r="L189" s="55"/>
      <c r="M189" s="56">
        <v>738276.2</v>
      </c>
    </row>
    <row r="190" spans="1:13" ht="15.75" customHeight="1" x14ac:dyDescent="0.2">
      <c r="A190" s="47" t="s">
        <v>434</v>
      </c>
      <c r="B190" s="48" t="s">
        <v>435</v>
      </c>
      <c r="C190" s="47" t="s">
        <v>62</v>
      </c>
      <c r="D190" s="49" t="s">
        <v>29</v>
      </c>
      <c r="E190" s="47" t="s">
        <v>17</v>
      </c>
      <c r="F190" s="59" t="s">
        <v>47</v>
      </c>
      <c r="G190" s="43" t="s">
        <v>19</v>
      </c>
      <c r="H190" s="47"/>
      <c r="I190" s="44" t="str">
        <f t="shared" si="2"/>
        <v/>
      </c>
      <c r="J190" s="47"/>
      <c r="L190" s="55"/>
      <c r="M190" s="56">
        <v>737299.3</v>
      </c>
    </row>
    <row r="191" spans="1:13" ht="15.75" customHeight="1" x14ac:dyDescent="0.2">
      <c r="A191" s="39" t="s">
        <v>436</v>
      </c>
      <c r="B191" s="40" t="s">
        <v>437</v>
      </c>
      <c r="C191" s="39" t="s">
        <v>280</v>
      </c>
      <c r="D191" s="41" t="s">
        <v>23</v>
      </c>
      <c r="E191" s="39" t="s">
        <v>17</v>
      </c>
      <c r="F191" s="42" t="s">
        <v>18</v>
      </c>
      <c r="G191" s="43" t="s">
        <v>19</v>
      </c>
      <c r="H191" s="39"/>
      <c r="I191" s="44" t="str">
        <f t="shared" si="2"/>
        <v/>
      </c>
      <c r="J191" s="39"/>
      <c r="L191" s="45"/>
      <c r="M191" s="46">
        <v>737179.65</v>
      </c>
    </row>
    <row r="192" spans="1:13" ht="15.75" customHeight="1" x14ac:dyDescent="0.2">
      <c r="A192" s="47" t="s">
        <v>438</v>
      </c>
      <c r="B192" s="48" t="s">
        <v>439</v>
      </c>
      <c r="C192" s="47" t="s">
        <v>40</v>
      </c>
      <c r="D192" s="49" t="s">
        <v>37</v>
      </c>
      <c r="E192" s="47" t="s">
        <v>17</v>
      </c>
      <c r="F192" s="57" t="s">
        <v>18</v>
      </c>
      <c r="G192" s="43" t="s">
        <v>19</v>
      </c>
      <c r="H192" s="47"/>
      <c r="I192" s="44" t="str">
        <f t="shared" si="2"/>
        <v/>
      </c>
      <c r="J192" s="47"/>
      <c r="L192" s="55"/>
      <c r="M192" s="56">
        <v>729119.35</v>
      </c>
    </row>
    <row r="193" spans="1:13" ht="15.75" customHeight="1" x14ac:dyDescent="0.2">
      <c r="A193" s="39" t="s">
        <v>440</v>
      </c>
      <c r="B193" s="40" t="s">
        <v>441</v>
      </c>
      <c r="C193" s="39" t="s">
        <v>62</v>
      </c>
      <c r="D193" s="41" t="s">
        <v>37</v>
      </c>
      <c r="E193" s="39" t="s">
        <v>17</v>
      </c>
      <c r="F193" s="42" t="s">
        <v>18</v>
      </c>
      <c r="G193" s="43" t="s">
        <v>19</v>
      </c>
      <c r="H193" s="39"/>
      <c r="I193" s="44" t="str">
        <f t="shared" si="2"/>
        <v/>
      </c>
      <c r="J193" s="39"/>
      <c r="L193" s="45"/>
      <c r="M193" s="46">
        <v>728951.15</v>
      </c>
    </row>
    <row r="194" spans="1:13" ht="15.75" customHeight="1" x14ac:dyDescent="0.2">
      <c r="A194" s="39" t="s">
        <v>442</v>
      </c>
      <c r="B194" s="40" t="s">
        <v>443</v>
      </c>
      <c r="C194" s="39" t="s">
        <v>242</v>
      </c>
      <c r="D194" s="41" t="s">
        <v>37</v>
      </c>
      <c r="E194" s="39" t="s">
        <v>17</v>
      </c>
      <c r="F194" s="58" t="s">
        <v>47</v>
      </c>
      <c r="G194" s="43" t="s">
        <v>19</v>
      </c>
      <c r="H194" s="39"/>
      <c r="I194" s="44" t="str">
        <f t="shared" ref="I194:I257" si="3">IF(H194="","",H194+9)</f>
        <v/>
      </c>
      <c r="J194" s="39"/>
      <c r="L194" s="45"/>
      <c r="M194" s="46">
        <v>719078.34</v>
      </c>
    </row>
    <row r="195" spans="1:13" ht="15.75" customHeight="1" x14ac:dyDescent="0.2">
      <c r="A195" s="39" t="s">
        <v>444</v>
      </c>
      <c r="B195" s="40" t="s">
        <v>445</v>
      </c>
      <c r="C195" s="39" t="s">
        <v>15</v>
      </c>
      <c r="D195" s="41" t="s">
        <v>37</v>
      </c>
      <c r="E195" s="39" t="s">
        <v>17</v>
      </c>
      <c r="F195" s="42" t="s">
        <v>18</v>
      </c>
      <c r="G195" s="43" t="s">
        <v>19</v>
      </c>
      <c r="H195" s="39"/>
      <c r="I195" s="44" t="str">
        <f t="shared" si="3"/>
        <v/>
      </c>
      <c r="J195" s="39"/>
      <c r="L195" s="45"/>
      <c r="M195" s="46">
        <v>716200.79</v>
      </c>
    </row>
    <row r="196" spans="1:13" ht="15.75" customHeight="1" x14ac:dyDescent="0.2">
      <c r="A196" s="47" t="s">
        <v>446</v>
      </c>
      <c r="B196" s="48" t="s">
        <v>447</v>
      </c>
      <c r="C196" s="47" t="s">
        <v>32</v>
      </c>
      <c r="D196" s="49" t="s">
        <v>37</v>
      </c>
      <c r="E196" s="47" t="s">
        <v>17</v>
      </c>
      <c r="F196" s="57" t="s">
        <v>18</v>
      </c>
      <c r="G196" s="43" t="s">
        <v>19</v>
      </c>
      <c r="H196" s="47"/>
      <c r="I196" s="44" t="str">
        <f t="shared" si="3"/>
        <v/>
      </c>
      <c r="J196" s="47"/>
      <c r="L196" s="55"/>
      <c r="M196" s="56">
        <v>705876.52</v>
      </c>
    </row>
    <row r="197" spans="1:13" ht="15.75" customHeight="1" x14ac:dyDescent="0.2">
      <c r="A197" s="39" t="s">
        <v>448</v>
      </c>
      <c r="B197" s="40" t="s">
        <v>449</v>
      </c>
      <c r="C197" s="39" t="s">
        <v>40</v>
      </c>
      <c r="D197" s="41" t="s">
        <v>37</v>
      </c>
      <c r="E197" s="39" t="s">
        <v>17</v>
      </c>
      <c r="F197" s="58" t="s">
        <v>47</v>
      </c>
      <c r="G197" s="43" t="s">
        <v>19</v>
      </c>
      <c r="H197" s="39"/>
      <c r="I197" s="44" t="str">
        <f t="shared" si="3"/>
        <v/>
      </c>
      <c r="J197" s="39"/>
      <c r="L197" s="45"/>
      <c r="M197" s="46">
        <v>695773.57</v>
      </c>
    </row>
    <row r="198" spans="1:13" ht="15.75" customHeight="1" x14ac:dyDescent="0.2">
      <c r="A198" s="47" t="s">
        <v>450</v>
      </c>
      <c r="B198" s="48" t="s">
        <v>451</v>
      </c>
      <c r="C198" s="47" t="s">
        <v>62</v>
      </c>
      <c r="D198" s="49" t="s">
        <v>29</v>
      </c>
      <c r="E198" s="47" t="s">
        <v>17</v>
      </c>
      <c r="F198" s="59" t="s">
        <v>47</v>
      </c>
      <c r="G198" s="43" t="s">
        <v>19</v>
      </c>
      <c r="H198" s="47"/>
      <c r="I198" s="44" t="str">
        <f t="shared" si="3"/>
        <v/>
      </c>
      <c r="J198" s="47"/>
      <c r="L198" s="55"/>
      <c r="M198" s="56">
        <v>694286.98</v>
      </c>
    </row>
    <row r="199" spans="1:13" ht="15.75" customHeight="1" x14ac:dyDescent="0.2">
      <c r="A199" s="39" t="s">
        <v>452</v>
      </c>
      <c r="B199" s="40" t="s">
        <v>453</v>
      </c>
      <c r="C199" s="39" t="s">
        <v>75</v>
      </c>
      <c r="D199" s="41" t="s">
        <v>454</v>
      </c>
      <c r="E199" s="39" t="s">
        <v>17</v>
      </c>
      <c r="F199" s="58" t="s">
        <v>47</v>
      </c>
      <c r="G199" s="43" t="s">
        <v>19</v>
      </c>
      <c r="H199" s="44">
        <v>46125</v>
      </c>
      <c r="I199" s="44">
        <f t="shared" si="3"/>
        <v>46134</v>
      </c>
      <c r="J199" s="39"/>
      <c r="L199" s="45"/>
      <c r="M199" s="46">
        <v>686364</v>
      </c>
    </row>
    <row r="200" spans="1:13" ht="15.75" customHeight="1" x14ac:dyDescent="0.2">
      <c r="A200" s="47" t="s">
        <v>455</v>
      </c>
      <c r="B200" s="48" t="s">
        <v>456</v>
      </c>
      <c r="C200" s="47" t="s">
        <v>28</v>
      </c>
      <c r="D200" s="49" t="s">
        <v>29</v>
      </c>
      <c r="E200" s="47" t="s">
        <v>17</v>
      </c>
      <c r="F200" s="59" t="s">
        <v>47</v>
      </c>
      <c r="G200" s="43" t="s">
        <v>19</v>
      </c>
      <c r="H200" s="47"/>
      <c r="I200" s="44" t="str">
        <f t="shared" si="3"/>
        <v/>
      </c>
      <c r="J200" s="47"/>
      <c r="L200" s="55"/>
      <c r="M200" s="56">
        <v>683004.46</v>
      </c>
    </row>
    <row r="201" spans="1:13" ht="15.75" customHeight="1" x14ac:dyDescent="0.2">
      <c r="A201" s="47" t="s">
        <v>457</v>
      </c>
      <c r="B201" s="48" t="s">
        <v>458</v>
      </c>
      <c r="C201" s="47" t="s">
        <v>138</v>
      </c>
      <c r="D201" s="49" t="s">
        <v>51</v>
      </c>
      <c r="E201" s="47" t="s">
        <v>17</v>
      </c>
      <c r="F201" s="59" t="s">
        <v>47</v>
      </c>
      <c r="G201" s="43" t="s">
        <v>19</v>
      </c>
      <c r="H201" s="47"/>
      <c r="I201" s="44" t="str">
        <f t="shared" si="3"/>
        <v/>
      </c>
      <c r="J201" s="47"/>
      <c r="L201" s="55"/>
      <c r="M201" s="56">
        <v>676676.36</v>
      </c>
    </row>
    <row r="202" spans="1:13" ht="15.75" customHeight="1" x14ac:dyDescent="0.2">
      <c r="A202" s="39" t="s">
        <v>459</v>
      </c>
      <c r="B202" s="40" t="s">
        <v>460</v>
      </c>
      <c r="C202" s="39" t="s">
        <v>106</v>
      </c>
      <c r="D202" s="41" t="s">
        <v>29</v>
      </c>
      <c r="E202" s="39" t="s">
        <v>17</v>
      </c>
      <c r="F202" s="42" t="s">
        <v>18</v>
      </c>
      <c r="G202" s="43" t="s">
        <v>19</v>
      </c>
      <c r="H202" s="39"/>
      <c r="I202" s="44" t="str">
        <f t="shared" si="3"/>
        <v/>
      </c>
      <c r="J202" s="39"/>
      <c r="L202" s="45"/>
      <c r="M202" s="46">
        <v>669236.79</v>
      </c>
    </row>
    <row r="203" spans="1:13" ht="15.75" customHeight="1" x14ac:dyDescent="0.2">
      <c r="A203" s="39" t="s">
        <v>461</v>
      </c>
      <c r="B203" s="40" t="s">
        <v>462</v>
      </c>
      <c r="C203" s="39" t="s">
        <v>138</v>
      </c>
      <c r="D203" s="41" t="s">
        <v>51</v>
      </c>
      <c r="E203" s="39" t="s">
        <v>109</v>
      </c>
      <c r="F203" s="42" t="s">
        <v>18</v>
      </c>
      <c r="G203" s="43" t="s">
        <v>19</v>
      </c>
      <c r="H203" s="39"/>
      <c r="I203" s="44" t="str">
        <f t="shared" si="3"/>
        <v/>
      </c>
      <c r="J203" s="39"/>
      <c r="L203" s="45"/>
      <c r="M203" s="46">
        <v>667584.41</v>
      </c>
    </row>
    <row r="204" spans="1:13" ht="15.75" customHeight="1" x14ac:dyDescent="0.2">
      <c r="A204" s="39" t="s">
        <v>463</v>
      </c>
      <c r="B204" s="40" t="s">
        <v>464</v>
      </c>
      <c r="C204" s="39" t="s">
        <v>92</v>
      </c>
      <c r="D204" s="41" t="s">
        <v>114</v>
      </c>
      <c r="E204" s="39" t="s">
        <v>17</v>
      </c>
      <c r="F204" s="58" t="s">
        <v>47</v>
      </c>
      <c r="G204" s="43" t="s">
        <v>19</v>
      </c>
      <c r="H204" s="39"/>
      <c r="I204" s="44" t="str">
        <f t="shared" si="3"/>
        <v/>
      </c>
      <c r="J204" s="39"/>
      <c r="L204" s="45"/>
      <c r="M204" s="46">
        <v>664688</v>
      </c>
    </row>
    <row r="205" spans="1:13" ht="15.75" customHeight="1" x14ac:dyDescent="0.2">
      <c r="A205" s="47" t="s">
        <v>465</v>
      </c>
      <c r="B205" s="48" t="s">
        <v>466</v>
      </c>
      <c r="C205" s="47" t="s">
        <v>80</v>
      </c>
      <c r="D205" s="49" t="s">
        <v>37</v>
      </c>
      <c r="E205" s="47" t="s">
        <v>17</v>
      </c>
      <c r="F205" s="57" t="s">
        <v>18</v>
      </c>
      <c r="G205" s="43" t="s">
        <v>19</v>
      </c>
      <c r="H205" s="47"/>
      <c r="I205" s="44" t="str">
        <f t="shared" si="3"/>
        <v/>
      </c>
      <c r="J205" s="47"/>
      <c r="L205" s="55"/>
      <c r="M205" s="56">
        <v>664153.77</v>
      </c>
    </row>
    <row r="206" spans="1:13" ht="15.75" customHeight="1" x14ac:dyDescent="0.2">
      <c r="A206" s="47" t="s">
        <v>467</v>
      </c>
      <c r="B206" s="48" t="s">
        <v>468</v>
      </c>
      <c r="C206" s="47" t="s">
        <v>62</v>
      </c>
      <c r="D206" s="49" t="s">
        <v>29</v>
      </c>
      <c r="E206" s="47" t="s">
        <v>17</v>
      </c>
      <c r="F206" s="59" t="s">
        <v>47</v>
      </c>
      <c r="G206" s="43" t="s">
        <v>19</v>
      </c>
      <c r="H206" s="47"/>
      <c r="I206" s="44" t="str">
        <f t="shared" si="3"/>
        <v/>
      </c>
      <c r="J206" s="47"/>
      <c r="L206" s="55"/>
      <c r="M206" s="56">
        <v>662188.86</v>
      </c>
    </row>
    <row r="207" spans="1:13" ht="15.75" customHeight="1" x14ac:dyDescent="0.2">
      <c r="A207" s="39" t="s">
        <v>469</v>
      </c>
      <c r="B207" s="40" t="s">
        <v>470</v>
      </c>
      <c r="C207" s="39" t="s">
        <v>106</v>
      </c>
      <c r="D207" s="41" t="s">
        <v>37</v>
      </c>
      <c r="E207" s="39" t="s">
        <v>17</v>
      </c>
      <c r="F207" s="58" t="s">
        <v>47</v>
      </c>
      <c r="G207" s="43" t="s">
        <v>19</v>
      </c>
      <c r="H207" s="39"/>
      <c r="I207" s="44" t="str">
        <f t="shared" si="3"/>
        <v/>
      </c>
      <c r="J207" s="39"/>
      <c r="L207" s="45"/>
      <c r="M207" s="46">
        <v>654951.46</v>
      </c>
    </row>
    <row r="208" spans="1:13" ht="15.75" customHeight="1" x14ac:dyDescent="0.2">
      <c r="A208" s="47" t="s">
        <v>471</v>
      </c>
      <c r="B208" s="48" t="s">
        <v>472</v>
      </c>
      <c r="C208" s="47" t="s">
        <v>106</v>
      </c>
      <c r="D208" s="49" t="s">
        <v>37</v>
      </c>
      <c r="E208" s="47" t="s">
        <v>17</v>
      </c>
      <c r="F208" s="57" t="s">
        <v>18</v>
      </c>
      <c r="G208" s="43" t="s">
        <v>19</v>
      </c>
      <c r="H208" s="47"/>
      <c r="I208" s="44" t="str">
        <f t="shared" si="3"/>
        <v/>
      </c>
      <c r="J208" s="47"/>
      <c r="L208" s="55"/>
      <c r="M208" s="56">
        <v>650863.43000000005</v>
      </c>
    </row>
    <row r="209" spans="1:13" ht="15.75" customHeight="1" x14ac:dyDescent="0.2">
      <c r="A209" s="47" t="s">
        <v>473</v>
      </c>
      <c r="B209" s="48" t="s">
        <v>474</v>
      </c>
      <c r="C209" s="47" t="s">
        <v>62</v>
      </c>
      <c r="D209" s="49" t="s">
        <v>37</v>
      </c>
      <c r="E209" s="47" t="s">
        <v>17</v>
      </c>
      <c r="F209" s="59" t="s">
        <v>47</v>
      </c>
      <c r="G209" s="43" t="s">
        <v>19</v>
      </c>
      <c r="H209" s="47"/>
      <c r="I209" s="44" t="str">
        <f t="shared" si="3"/>
        <v/>
      </c>
      <c r="J209" s="47"/>
      <c r="L209" s="55"/>
      <c r="M209" s="56">
        <v>647679.28</v>
      </c>
    </row>
    <row r="210" spans="1:13" ht="15.75" customHeight="1" x14ac:dyDescent="0.2">
      <c r="A210" s="47" t="s">
        <v>475</v>
      </c>
      <c r="B210" s="48" t="s">
        <v>476</v>
      </c>
      <c r="C210" s="47" t="s">
        <v>28</v>
      </c>
      <c r="D210" s="49" t="s">
        <v>37</v>
      </c>
      <c r="E210" s="47" t="s">
        <v>17</v>
      </c>
      <c r="F210" s="59" t="s">
        <v>47</v>
      </c>
      <c r="G210" s="43" t="s">
        <v>19</v>
      </c>
      <c r="H210" s="47"/>
      <c r="I210" s="44" t="str">
        <f t="shared" si="3"/>
        <v/>
      </c>
      <c r="J210" s="47"/>
      <c r="L210" s="55"/>
      <c r="M210" s="56">
        <v>647429.89</v>
      </c>
    </row>
    <row r="211" spans="1:13" ht="15.75" customHeight="1" x14ac:dyDescent="0.2">
      <c r="A211" s="39" t="s">
        <v>477</v>
      </c>
      <c r="B211" s="40" t="s">
        <v>478</v>
      </c>
      <c r="C211" s="39" t="s">
        <v>80</v>
      </c>
      <c r="D211" s="41" t="s">
        <v>37</v>
      </c>
      <c r="E211" s="39" t="s">
        <v>17</v>
      </c>
      <c r="F211" s="42" t="s">
        <v>18</v>
      </c>
      <c r="G211" s="43" t="s">
        <v>19</v>
      </c>
      <c r="H211" s="39"/>
      <c r="I211" s="44" t="str">
        <f t="shared" si="3"/>
        <v/>
      </c>
      <c r="J211" s="39"/>
      <c r="L211" s="45"/>
      <c r="M211" s="46">
        <v>643069.99</v>
      </c>
    </row>
    <row r="212" spans="1:13" ht="15.75" customHeight="1" x14ac:dyDescent="0.2">
      <c r="A212" s="47" t="s">
        <v>479</v>
      </c>
      <c r="B212" s="48" t="s">
        <v>480</v>
      </c>
      <c r="C212" s="47" t="s">
        <v>62</v>
      </c>
      <c r="D212" s="49" t="s">
        <v>83</v>
      </c>
      <c r="E212" s="47" t="s">
        <v>17</v>
      </c>
      <c r="F212" s="57" t="s">
        <v>18</v>
      </c>
      <c r="G212" s="43" t="s">
        <v>19</v>
      </c>
      <c r="H212" s="47"/>
      <c r="I212" s="44" t="str">
        <f t="shared" si="3"/>
        <v/>
      </c>
      <c r="J212" s="47"/>
      <c r="L212" s="55"/>
      <c r="M212" s="56">
        <v>624272.32999999996</v>
      </c>
    </row>
    <row r="213" spans="1:13" ht="15.75" customHeight="1" x14ac:dyDescent="0.2">
      <c r="A213" s="39" t="s">
        <v>481</v>
      </c>
      <c r="B213" s="40" t="s">
        <v>482</v>
      </c>
      <c r="C213" s="39" t="s">
        <v>75</v>
      </c>
      <c r="D213" s="41" t="s">
        <v>23</v>
      </c>
      <c r="E213" s="39" t="s">
        <v>109</v>
      </c>
      <c r="F213" s="42" t="s">
        <v>18</v>
      </c>
      <c r="G213" s="43" t="s">
        <v>19</v>
      </c>
      <c r="H213" s="39"/>
      <c r="I213" s="44" t="str">
        <f t="shared" si="3"/>
        <v/>
      </c>
      <c r="J213" s="39"/>
      <c r="L213" s="45"/>
      <c r="M213" s="46">
        <v>622290.18999999994</v>
      </c>
    </row>
    <row r="214" spans="1:13" ht="15.75" customHeight="1" x14ac:dyDescent="0.2">
      <c r="A214" s="39" t="s">
        <v>483</v>
      </c>
      <c r="B214" s="40" t="s">
        <v>484</v>
      </c>
      <c r="C214" s="39" t="s">
        <v>50</v>
      </c>
      <c r="D214" s="41" t="s">
        <v>51</v>
      </c>
      <c r="E214" s="39" t="s">
        <v>17</v>
      </c>
      <c r="F214" s="42" t="s">
        <v>18</v>
      </c>
      <c r="G214" s="43" t="s">
        <v>19</v>
      </c>
      <c r="H214" s="39"/>
      <c r="I214" s="44" t="str">
        <f t="shared" si="3"/>
        <v/>
      </c>
      <c r="J214" s="39"/>
      <c r="L214" s="45"/>
      <c r="M214" s="46">
        <v>621606</v>
      </c>
    </row>
    <row r="215" spans="1:13" ht="15.75" customHeight="1" x14ac:dyDescent="0.2">
      <c r="A215" s="47" t="s">
        <v>485</v>
      </c>
      <c r="B215" s="48" t="s">
        <v>486</v>
      </c>
      <c r="C215" s="47" t="s">
        <v>92</v>
      </c>
      <c r="D215" s="49" t="s">
        <v>126</v>
      </c>
      <c r="E215" s="47" t="s">
        <v>17</v>
      </c>
      <c r="F215" s="57" t="s">
        <v>18</v>
      </c>
      <c r="G215" s="43" t="s">
        <v>19</v>
      </c>
      <c r="H215" s="47"/>
      <c r="I215" s="44" t="str">
        <f t="shared" si="3"/>
        <v/>
      </c>
      <c r="J215" s="47"/>
      <c r="L215" s="55"/>
      <c r="M215" s="56">
        <v>618081.1</v>
      </c>
    </row>
    <row r="216" spans="1:13" ht="15.75" customHeight="1" x14ac:dyDescent="0.2">
      <c r="A216" s="47" t="s">
        <v>487</v>
      </c>
      <c r="B216" s="48" t="s">
        <v>488</v>
      </c>
      <c r="C216" s="47" t="s">
        <v>130</v>
      </c>
      <c r="D216" s="49" t="s">
        <v>126</v>
      </c>
      <c r="E216" s="47" t="s">
        <v>17</v>
      </c>
      <c r="F216" s="59" t="s">
        <v>47</v>
      </c>
      <c r="G216" s="43" t="s">
        <v>19</v>
      </c>
      <c r="H216" s="47"/>
      <c r="I216" s="44" t="str">
        <f t="shared" si="3"/>
        <v/>
      </c>
      <c r="J216" s="47"/>
      <c r="L216" s="55"/>
      <c r="M216" s="56">
        <v>615714.9</v>
      </c>
    </row>
    <row r="217" spans="1:13" ht="15.75" customHeight="1" x14ac:dyDescent="0.2">
      <c r="A217" s="47" t="s">
        <v>489</v>
      </c>
      <c r="B217" s="48" t="s">
        <v>490</v>
      </c>
      <c r="C217" s="47" t="s">
        <v>138</v>
      </c>
      <c r="D217" s="49" t="s">
        <v>126</v>
      </c>
      <c r="E217" s="47" t="s">
        <v>17</v>
      </c>
      <c r="F217" s="59" t="s">
        <v>47</v>
      </c>
      <c r="G217" s="43" t="s">
        <v>19</v>
      </c>
      <c r="H217" s="47"/>
      <c r="I217" s="44" t="str">
        <f t="shared" si="3"/>
        <v/>
      </c>
      <c r="J217" s="47"/>
      <c r="L217" s="55"/>
      <c r="M217" s="56">
        <v>615187.55000000005</v>
      </c>
    </row>
    <row r="218" spans="1:13" ht="15.75" customHeight="1" x14ac:dyDescent="0.2">
      <c r="A218" s="39" t="s">
        <v>491</v>
      </c>
      <c r="B218" s="40" t="s">
        <v>492</v>
      </c>
      <c r="C218" s="39" t="s">
        <v>32</v>
      </c>
      <c r="D218" s="41" t="s">
        <v>37</v>
      </c>
      <c r="E218" s="39" t="s">
        <v>17</v>
      </c>
      <c r="F218" s="42" t="s">
        <v>18</v>
      </c>
      <c r="G218" s="43" t="s">
        <v>19</v>
      </c>
      <c r="H218" s="39"/>
      <c r="I218" s="44" t="str">
        <f t="shared" si="3"/>
        <v/>
      </c>
      <c r="J218" s="39"/>
      <c r="L218" s="45"/>
      <c r="M218" s="46">
        <v>615137.53</v>
      </c>
    </row>
    <row r="219" spans="1:13" ht="15.75" customHeight="1" x14ac:dyDescent="0.2">
      <c r="A219" s="47" t="s">
        <v>493</v>
      </c>
      <c r="B219" s="48" t="s">
        <v>494</v>
      </c>
      <c r="C219" s="47" t="s">
        <v>130</v>
      </c>
      <c r="D219" s="49" t="s">
        <v>126</v>
      </c>
      <c r="E219" s="47" t="s">
        <v>17</v>
      </c>
      <c r="F219" s="57" t="s">
        <v>18</v>
      </c>
      <c r="G219" s="43" t="s">
        <v>19</v>
      </c>
      <c r="H219" s="47"/>
      <c r="I219" s="44" t="str">
        <f t="shared" si="3"/>
        <v/>
      </c>
      <c r="J219" s="47"/>
      <c r="L219" s="55"/>
      <c r="M219" s="56">
        <v>615098.54</v>
      </c>
    </row>
    <row r="220" spans="1:13" ht="15.75" customHeight="1" x14ac:dyDescent="0.2">
      <c r="A220" s="47" t="s">
        <v>495</v>
      </c>
      <c r="B220" s="48" t="s">
        <v>496</v>
      </c>
      <c r="C220" s="47" t="s">
        <v>22</v>
      </c>
      <c r="D220" s="49" t="s">
        <v>51</v>
      </c>
      <c r="E220" s="47" t="s">
        <v>17</v>
      </c>
      <c r="F220" s="59" t="s">
        <v>47</v>
      </c>
      <c r="G220" s="43" t="s">
        <v>19</v>
      </c>
      <c r="H220" s="47"/>
      <c r="I220" s="44" t="str">
        <f t="shared" si="3"/>
        <v/>
      </c>
      <c r="J220" s="47"/>
      <c r="L220" s="55"/>
      <c r="M220" s="56">
        <v>610075.14</v>
      </c>
    </row>
    <row r="221" spans="1:13" ht="15.75" customHeight="1" x14ac:dyDescent="0.2">
      <c r="A221" s="39" t="s">
        <v>497</v>
      </c>
      <c r="B221" s="40" t="s">
        <v>498</v>
      </c>
      <c r="C221" s="39" t="s">
        <v>138</v>
      </c>
      <c r="D221" s="41" t="s">
        <v>126</v>
      </c>
      <c r="E221" s="39" t="s">
        <v>17</v>
      </c>
      <c r="F221" s="58" t="s">
        <v>47</v>
      </c>
      <c r="G221" s="43" t="s">
        <v>19</v>
      </c>
      <c r="H221" s="39"/>
      <c r="I221" s="44" t="str">
        <f t="shared" si="3"/>
        <v/>
      </c>
      <c r="J221" s="39"/>
      <c r="L221" s="45"/>
      <c r="M221" s="46">
        <v>607456.55000000005</v>
      </c>
    </row>
    <row r="222" spans="1:13" ht="15.75" customHeight="1" x14ac:dyDescent="0.2">
      <c r="A222" s="39" t="s">
        <v>499</v>
      </c>
      <c r="B222" s="40" t="s">
        <v>500</v>
      </c>
      <c r="C222" s="39" t="s">
        <v>273</v>
      </c>
      <c r="D222" s="41" t="s">
        <v>51</v>
      </c>
      <c r="E222" s="39" t="s">
        <v>17</v>
      </c>
      <c r="F222" s="58" t="s">
        <v>47</v>
      </c>
      <c r="G222" s="43" t="s">
        <v>19</v>
      </c>
      <c r="H222" s="39"/>
      <c r="I222" s="44" t="str">
        <f t="shared" si="3"/>
        <v/>
      </c>
      <c r="J222" s="39"/>
      <c r="L222" s="45"/>
      <c r="M222" s="46">
        <v>605508.11</v>
      </c>
    </row>
    <row r="223" spans="1:13" ht="15.75" customHeight="1" x14ac:dyDescent="0.2">
      <c r="A223" s="39" t="s">
        <v>501</v>
      </c>
      <c r="B223" s="40" t="s">
        <v>502</v>
      </c>
      <c r="C223" s="39" t="s">
        <v>75</v>
      </c>
      <c r="D223" s="41" t="s">
        <v>37</v>
      </c>
      <c r="E223" s="39" t="s">
        <v>17</v>
      </c>
      <c r="F223" s="58" t="s">
        <v>47</v>
      </c>
      <c r="G223" s="43" t="s">
        <v>19</v>
      </c>
      <c r="H223" s="39"/>
      <c r="I223" s="44" t="str">
        <f t="shared" si="3"/>
        <v/>
      </c>
      <c r="J223" s="39"/>
      <c r="L223" s="45"/>
      <c r="M223" s="46">
        <v>599854.32999999996</v>
      </c>
    </row>
    <row r="224" spans="1:13" ht="15.75" customHeight="1" x14ac:dyDescent="0.2">
      <c r="A224" s="47" t="s">
        <v>503</v>
      </c>
      <c r="B224" s="48" t="s">
        <v>504</v>
      </c>
      <c r="C224" s="47" t="s">
        <v>36</v>
      </c>
      <c r="D224" s="49" t="s">
        <v>37</v>
      </c>
      <c r="E224" s="47" t="s">
        <v>17</v>
      </c>
      <c r="F224" s="59" t="s">
        <v>47</v>
      </c>
      <c r="G224" s="43" t="s">
        <v>19</v>
      </c>
      <c r="H224" s="47"/>
      <c r="I224" s="44" t="str">
        <f t="shared" si="3"/>
        <v/>
      </c>
      <c r="J224" s="47"/>
      <c r="L224" s="55"/>
      <c r="M224" s="56">
        <v>599580.26</v>
      </c>
    </row>
    <row r="225" spans="1:13" ht="15.75" customHeight="1" x14ac:dyDescent="0.2">
      <c r="A225" s="47" t="s">
        <v>505</v>
      </c>
      <c r="B225" s="48" t="s">
        <v>506</v>
      </c>
      <c r="C225" s="47" t="s">
        <v>28</v>
      </c>
      <c r="D225" s="49" t="s">
        <v>37</v>
      </c>
      <c r="E225" s="47" t="s">
        <v>17</v>
      </c>
      <c r="F225" s="59" t="s">
        <v>47</v>
      </c>
      <c r="G225" s="43" t="s">
        <v>19</v>
      </c>
      <c r="H225" s="47"/>
      <c r="I225" s="44" t="str">
        <f t="shared" si="3"/>
        <v/>
      </c>
      <c r="J225" s="47"/>
      <c r="L225" s="55"/>
      <c r="M225" s="56">
        <v>598836.32999999996</v>
      </c>
    </row>
    <row r="226" spans="1:13" ht="15.75" customHeight="1" x14ac:dyDescent="0.2">
      <c r="A226" s="39" t="s">
        <v>507</v>
      </c>
      <c r="B226" s="40" t="s">
        <v>508</v>
      </c>
      <c r="C226" s="39" t="s">
        <v>28</v>
      </c>
      <c r="D226" s="41" t="s">
        <v>37</v>
      </c>
      <c r="E226" s="39" t="s">
        <v>17</v>
      </c>
      <c r="F226" s="42" t="s">
        <v>18</v>
      </c>
      <c r="G226" s="43" t="s">
        <v>19</v>
      </c>
      <c r="H226" s="39"/>
      <c r="I226" s="44" t="str">
        <f t="shared" si="3"/>
        <v/>
      </c>
      <c r="J226" s="39"/>
      <c r="L226" s="45"/>
      <c r="M226" s="46">
        <v>598027.96</v>
      </c>
    </row>
    <row r="227" spans="1:13" ht="15.75" customHeight="1" x14ac:dyDescent="0.2">
      <c r="A227" s="39" t="s">
        <v>509</v>
      </c>
      <c r="B227" s="40" t="s">
        <v>510</v>
      </c>
      <c r="C227" s="39" t="s">
        <v>242</v>
      </c>
      <c r="D227" s="41" t="s">
        <v>37</v>
      </c>
      <c r="E227" s="39" t="s">
        <v>17</v>
      </c>
      <c r="F227" s="58" t="s">
        <v>47</v>
      </c>
      <c r="G227" s="43" t="s">
        <v>19</v>
      </c>
      <c r="H227" s="39"/>
      <c r="I227" s="44" t="str">
        <f t="shared" si="3"/>
        <v/>
      </c>
      <c r="J227" s="39"/>
      <c r="L227" s="45"/>
      <c r="M227" s="46">
        <v>591551.48</v>
      </c>
    </row>
    <row r="228" spans="1:13" ht="15.75" customHeight="1" x14ac:dyDescent="0.2">
      <c r="A228" s="47" t="s">
        <v>511</v>
      </c>
      <c r="B228" s="48" t="s">
        <v>512</v>
      </c>
      <c r="C228" s="47" t="s">
        <v>62</v>
      </c>
      <c r="D228" s="49" t="s">
        <v>29</v>
      </c>
      <c r="E228" s="47" t="s">
        <v>17</v>
      </c>
      <c r="F228" s="59" t="s">
        <v>47</v>
      </c>
      <c r="G228" s="43" t="s">
        <v>19</v>
      </c>
      <c r="H228" s="47"/>
      <c r="I228" s="44" t="str">
        <f t="shared" si="3"/>
        <v/>
      </c>
      <c r="J228" s="47"/>
      <c r="L228" s="55"/>
      <c r="M228" s="56">
        <v>584948.64</v>
      </c>
    </row>
    <row r="229" spans="1:13" ht="15.75" customHeight="1" x14ac:dyDescent="0.2">
      <c r="A229" s="39" t="s">
        <v>513</v>
      </c>
      <c r="B229" s="40" t="s">
        <v>514</v>
      </c>
      <c r="C229" s="39" t="s">
        <v>40</v>
      </c>
      <c r="D229" s="41" t="s">
        <v>114</v>
      </c>
      <c r="E229" s="39" t="s">
        <v>17</v>
      </c>
      <c r="F229" s="58" t="s">
        <v>47</v>
      </c>
      <c r="G229" s="43" t="s">
        <v>19</v>
      </c>
      <c r="H229" s="39"/>
      <c r="I229" s="44" t="str">
        <f t="shared" si="3"/>
        <v/>
      </c>
      <c r="J229" s="39"/>
      <c r="L229" s="45"/>
      <c r="M229" s="46">
        <v>582753.39</v>
      </c>
    </row>
    <row r="230" spans="1:13" ht="15.75" customHeight="1" x14ac:dyDescent="0.2">
      <c r="A230" s="47" t="s">
        <v>515</v>
      </c>
      <c r="B230" s="48" t="s">
        <v>516</v>
      </c>
      <c r="C230" s="47" t="s">
        <v>15</v>
      </c>
      <c r="D230" s="49" t="s">
        <v>37</v>
      </c>
      <c r="E230" s="47" t="s">
        <v>17</v>
      </c>
      <c r="F230" s="57" t="s">
        <v>18</v>
      </c>
      <c r="G230" s="43" t="s">
        <v>19</v>
      </c>
      <c r="H230" s="47"/>
      <c r="I230" s="44" t="str">
        <f t="shared" si="3"/>
        <v/>
      </c>
      <c r="J230" s="47"/>
      <c r="L230" s="55"/>
      <c r="M230" s="56">
        <v>574550.26</v>
      </c>
    </row>
    <row r="231" spans="1:13" ht="15.75" customHeight="1" x14ac:dyDescent="0.2">
      <c r="A231" s="47" t="s">
        <v>517</v>
      </c>
      <c r="B231" s="48" t="s">
        <v>518</v>
      </c>
      <c r="C231" s="47" t="s">
        <v>32</v>
      </c>
      <c r="D231" s="49" t="s">
        <v>29</v>
      </c>
      <c r="E231" s="47" t="s">
        <v>17</v>
      </c>
      <c r="F231" s="57" t="s">
        <v>18</v>
      </c>
      <c r="G231" s="43" t="s">
        <v>19</v>
      </c>
      <c r="H231" s="47"/>
      <c r="I231" s="44" t="str">
        <f t="shared" si="3"/>
        <v/>
      </c>
      <c r="J231" s="47"/>
      <c r="L231" s="55"/>
      <c r="M231" s="56">
        <v>567106.75</v>
      </c>
    </row>
    <row r="232" spans="1:13" ht="15.75" customHeight="1" x14ac:dyDescent="0.2">
      <c r="A232" s="47" t="s">
        <v>519</v>
      </c>
      <c r="B232" s="48" t="s">
        <v>520</v>
      </c>
      <c r="C232" s="47" t="s">
        <v>28</v>
      </c>
      <c r="D232" s="49" t="s">
        <v>29</v>
      </c>
      <c r="E232" s="47" t="s">
        <v>17</v>
      </c>
      <c r="F232" s="59" t="s">
        <v>47</v>
      </c>
      <c r="G232" s="43" t="s">
        <v>19</v>
      </c>
      <c r="H232" s="47"/>
      <c r="I232" s="44" t="str">
        <f t="shared" si="3"/>
        <v/>
      </c>
      <c r="J232" s="47"/>
      <c r="L232" s="55"/>
      <c r="M232" s="56">
        <v>550975</v>
      </c>
    </row>
    <row r="233" spans="1:13" ht="15.75" customHeight="1" x14ac:dyDescent="0.2">
      <c r="A233" s="39" t="s">
        <v>521</v>
      </c>
      <c r="B233" s="40" t="s">
        <v>522</v>
      </c>
      <c r="C233" s="39" t="s">
        <v>92</v>
      </c>
      <c r="D233" s="41" t="s">
        <v>126</v>
      </c>
      <c r="E233" s="39" t="s">
        <v>17</v>
      </c>
      <c r="F233" s="58" t="s">
        <v>47</v>
      </c>
      <c r="G233" s="43" t="s">
        <v>19</v>
      </c>
      <c r="H233" s="39"/>
      <c r="I233" s="44" t="str">
        <f t="shared" si="3"/>
        <v/>
      </c>
      <c r="J233" s="39"/>
      <c r="L233" s="45"/>
      <c r="M233" s="46">
        <v>550530.74</v>
      </c>
    </row>
    <row r="234" spans="1:13" ht="15.75" customHeight="1" x14ac:dyDescent="0.2">
      <c r="A234" s="39" t="s">
        <v>523</v>
      </c>
      <c r="B234" s="40" t="s">
        <v>524</v>
      </c>
      <c r="C234" s="39" t="s">
        <v>15</v>
      </c>
      <c r="D234" s="41" t="s">
        <v>37</v>
      </c>
      <c r="E234" s="39" t="s">
        <v>17</v>
      </c>
      <c r="F234" s="58" t="s">
        <v>47</v>
      </c>
      <c r="G234" s="43" t="s">
        <v>19</v>
      </c>
      <c r="H234" s="39"/>
      <c r="I234" s="44" t="str">
        <f t="shared" si="3"/>
        <v/>
      </c>
      <c r="J234" s="39"/>
      <c r="L234" s="45"/>
      <c r="M234" s="46">
        <v>549677.72</v>
      </c>
    </row>
    <row r="235" spans="1:13" ht="15.75" customHeight="1" x14ac:dyDescent="0.2">
      <c r="A235" s="39" t="s">
        <v>525</v>
      </c>
      <c r="B235" s="40" t="s">
        <v>526</v>
      </c>
      <c r="C235" s="39" t="s">
        <v>75</v>
      </c>
      <c r="D235" s="41" t="s">
        <v>37</v>
      </c>
      <c r="E235" s="39" t="s">
        <v>17</v>
      </c>
      <c r="F235" s="42" t="s">
        <v>18</v>
      </c>
      <c r="G235" s="43" t="s">
        <v>19</v>
      </c>
      <c r="H235" s="39"/>
      <c r="I235" s="44" t="str">
        <f t="shared" si="3"/>
        <v/>
      </c>
      <c r="J235" s="39"/>
      <c r="L235" s="45"/>
      <c r="M235" s="46">
        <v>549611.96</v>
      </c>
    </row>
    <row r="236" spans="1:13" ht="15.75" customHeight="1" x14ac:dyDescent="0.2">
      <c r="A236" s="39" t="s">
        <v>527</v>
      </c>
      <c r="B236" s="40" t="s">
        <v>528</v>
      </c>
      <c r="C236" s="39" t="s">
        <v>233</v>
      </c>
      <c r="D236" s="41" t="s">
        <v>126</v>
      </c>
      <c r="E236" s="39" t="s">
        <v>17</v>
      </c>
      <c r="F236" s="58" t="s">
        <v>47</v>
      </c>
      <c r="G236" s="43" t="s">
        <v>19</v>
      </c>
      <c r="H236" s="39"/>
      <c r="I236" s="44" t="str">
        <f t="shared" si="3"/>
        <v/>
      </c>
      <c r="J236" s="39"/>
      <c r="L236" s="45"/>
      <c r="M236" s="46">
        <v>547603.35</v>
      </c>
    </row>
    <row r="237" spans="1:13" ht="15.75" customHeight="1" x14ac:dyDescent="0.2">
      <c r="A237" s="47" t="s">
        <v>529</v>
      </c>
      <c r="B237" s="48" t="s">
        <v>530</v>
      </c>
      <c r="C237" s="47" t="s">
        <v>59</v>
      </c>
      <c r="D237" s="49" t="s">
        <v>37</v>
      </c>
      <c r="E237" s="47" t="s">
        <v>17</v>
      </c>
      <c r="F237" s="57" t="s">
        <v>18</v>
      </c>
      <c r="G237" s="43" t="s">
        <v>19</v>
      </c>
      <c r="H237" s="47"/>
      <c r="I237" s="44" t="str">
        <f t="shared" si="3"/>
        <v/>
      </c>
      <c r="J237" s="47"/>
      <c r="L237" s="55"/>
      <c r="M237" s="56">
        <v>547153.4</v>
      </c>
    </row>
    <row r="238" spans="1:13" ht="15.75" customHeight="1" x14ac:dyDescent="0.2">
      <c r="A238" s="47" t="s">
        <v>531</v>
      </c>
      <c r="B238" s="48" t="s">
        <v>532</v>
      </c>
      <c r="C238" s="47" t="s">
        <v>15</v>
      </c>
      <c r="D238" s="49" t="s">
        <v>29</v>
      </c>
      <c r="E238" s="47" t="s">
        <v>17</v>
      </c>
      <c r="F238" s="59" t="s">
        <v>47</v>
      </c>
      <c r="G238" s="43" t="s">
        <v>19</v>
      </c>
      <c r="H238" s="47"/>
      <c r="I238" s="44" t="str">
        <f t="shared" si="3"/>
        <v/>
      </c>
      <c r="J238" s="47"/>
      <c r="L238" s="55"/>
      <c r="M238" s="56">
        <v>544948.43999999994</v>
      </c>
    </row>
    <row r="239" spans="1:13" ht="15.75" customHeight="1" x14ac:dyDescent="0.2">
      <c r="A239" s="47" t="s">
        <v>533</v>
      </c>
      <c r="B239" s="48" t="s">
        <v>534</v>
      </c>
      <c r="C239" s="47" t="s">
        <v>28</v>
      </c>
      <c r="D239" s="49" t="s">
        <v>29</v>
      </c>
      <c r="E239" s="47" t="s">
        <v>17</v>
      </c>
      <c r="F239" s="59" t="s">
        <v>47</v>
      </c>
      <c r="G239" s="43" t="s">
        <v>19</v>
      </c>
      <c r="H239" s="47"/>
      <c r="I239" s="44" t="str">
        <f t="shared" si="3"/>
        <v/>
      </c>
      <c r="J239" s="47"/>
      <c r="L239" s="55"/>
      <c r="M239" s="56">
        <v>544243.23</v>
      </c>
    </row>
    <row r="240" spans="1:13" ht="15.75" customHeight="1" x14ac:dyDescent="0.2">
      <c r="A240" s="47" t="s">
        <v>535</v>
      </c>
      <c r="B240" s="48" t="s">
        <v>536</v>
      </c>
      <c r="C240" s="47" t="s">
        <v>62</v>
      </c>
      <c r="D240" s="49" t="s">
        <v>29</v>
      </c>
      <c r="E240" s="47" t="s">
        <v>17</v>
      </c>
      <c r="F240" s="59" t="s">
        <v>47</v>
      </c>
      <c r="G240" s="43" t="s">
        <v>19</v>
      </c>
      <c r="H240" s="47"/>
      <c r="I240" s="44" t="str">
        <f t="shared" si="3"/>
        <v/>
      </c>
      <c r="J240" s="47"/>
      <c r="L240" s="55"/>
      <c r="M240" s="56">
        <v>540628.80000000005</v>
      </c>
    </row>
    <row r="241" spans="1:13" ht="15.75" customHeight="1" x14ac:dyDescent="0.2">
      <c r="A241" s="39" t="s">
        <v>537</v>
      </c>
      <c r="B241" s="40" t="s">
        <v>538</v>
      </c>
      <c r="C241" s="39" t="s">
        <v>138</v>
      </c>
      <c r="D241" s="41" t="s">
        <v>126</v>
      </c>
      <c r="E241" s="39" t="s">
        <v>17</v>
      </c>
      <c r="F241" s="58" t="s">
        <v>47</v>
      </c>
      <c r="G241" s="43" t="s">
        <v>19</v>
      </c>
      <c r="H241" s="39"/>
      <c r="I241" s="44" t="str">
        <f t="shared" si="3"/>
        <v/>
      </c>
      <c r="J241" s="39"/>
      <c r="L241" s="45"/>
      <c r="M241" s="46">
        <v>532459.22</v>
      </c>
    </row>
    <row r="242" spans="1:13" ht="15.75" customHeight="1" x14ac:dyDescent="0.2">
      <c r="A242" s="47" t="s">
        <v>539</v>
      </c>
      <c r="B242" s="48" t="s">
        <v>540</v>
      </c>
      <c r="C242" s="47" t="s">
        <v>28</v>
      </c>
      <c r="D242" s="49" t="s">
        <v>29</v>
      </c>
      <c r="E242" s="47" t="s">
        <v>17</v>
      </c>
      <c r="F242" s="59" t="s">
        <v>47</v>
      </c>
      <c r="G242" s="43" t="s">
        <v>19</v>
      </c>
      <c r="H242" s="47"/>
      <c r="I242" s="44" t="str">
        <f t="shared" si="3"/>
        <v/>
      </c>
      <c r="J242" s="47"/>
      <c r="L242" s="55"/>
      <c r="M242" s="56">
        <v>531444.86</v>
      </c>
    </row>
    <row r="243" spans="1:13" ht="15.75" customHeight="1" x14ac:dyDescent="0.2">
      <c r="A243" s="39" t="s">
        <v>541</v>
      </c>
      <c r="B243" s="40" t="s">
        <v>542</v>
      </c>
      <c r="C243" s="39" t="s">
        <v>92</v>
      </c>
      <c r="D243" s="41" t="s">
        <v>126</v>
      </c>
      <c r="E243" s="39" t="s">
        <v>17</v>
      </c>
      <c r="F243" s="58" t="s">
        <v>47</v>
      </c>
      <c r="G243" s="43" t="s">
        <v>19</v>
      </c>
      <c r="H243" s="39"/>
      <c r="I243" s="44" t="str">
        <f t="shared" si="3"/>
        <v/>
      </c>
      <c r="J243" s="39"/>
      <c r="L243" s="45"/>
      <c r="M243" s="46">
        <v>530597.6</v>
      </c>
    </row>
    <row r="244" spans="1:13" ht="15.75" customHeight="1" x14ac:dyDescent="0.2">
      <c r="A244" s="39" t="s">
        <v>543</v>
      </c>
      <c r="B244" s="40" t="s">
        <v>544</v>
      </c>
      <c r="C244" s="39" t="s">
        <v>138</v>
      </c>
      <c r="D244" s="41" t="s">
        <v>126</v>
      </c>
      <c r="E244" s="39" t="s">
        <v>17</v>
      </c>
      <c r="F244" s="58" t="s">
        <v>47</v>
      </c>
      <c r="G244" s="43" t="s">
        <v>19</v>
      </c>
      <c r="H244" s="39"/>
      <c r="I244" s="44" t="str">
        <f t="shared" si="3"/>
        <v/>
      </c>
      <c r="J244" s="39"/>
      <c r="L244" s="45"/>
      <c r="M244" s="46">
        <v>529672.41</v>
      </c>
    </row>
    <row r="245" spans="1:13" ht="15.75" customHeight="1" x14ac:dyDescent="0.2">
      <c r="A245" s="39" t="s">
        <v>545</v>
      </c>
      <c r="B245" s="40" t="s">
        <v>546</v>
      </c>
      <c r="C245" s="39" t="s">
        <v>138</v>
      </c>
      <c r="D245" s="41" t="s">
        <v>126</v>
      </c>
      <c r="E245" s="39" t="s">
        <v>17</v>
      </c>
      <c r="F245" s="58" t="s">
        <v>47</v>
      </c>
      <c r="G245" s="43" t="s">
        <v>19</v>
      </c>
      <c r="H245" s="39"/>
      <c r="I245" s="44" t="str">
        <f t="shared" si="3"/>
        <v/>
      </c>
      <c r="J245" s="39"/>
      <c r="L245" s="45"/>
      <c r="M245" s="46">
        <v>529168.24</v>
      </c>
    </row>
    <row r="246" spans="1:13" ht="15.75" customHeight="1" x14ac:dyDescent="0.2">
      <c r="A246" s="39" t="s">
        <v>547</v>
      </c>
      <c r="B246" s="40" t="s">
        <v>548</v>
      </c>
      <c r="C246" s="39" t="s">
        <v>28</v>
      </c>
      <c r="D246" s="41" t="s">
        <v>29</v>
      </c>
      <c r="E246" s="39" t="s">
        <v>17</v>
      </c>
      <c r="F246" s="58" t="s">
        <v>47</v>
      </c>
      <c r="G246" s="43" t="s">
        <v>19</v>
      </c>
      <c r="H246" s="39"/>
      <c r="I246" s="44" t="str">
        <f t="shared" si="3"/>
        <v/>
      </c>
      <c r="J246" s="39"/>
      <c r="L246" s="45"/>
      <c r="M246" s="46">
        <v>519279.57</v>
      </c>
    </row>
    <row r="247" spans="1:13" ht="15.75" customHeight="1" x14ac:dyDescent="0.2">
      <c r="A247" s="47" t="s">
        <v>549</v>
      </c>
      <c r="B247" s="48" t="s">
        <v>550</v>
      </c>
      <c r="C247" s="47" t="s">
        <v>75</v>
      </c>
      <c r="D247" s="49" t="s">
        <v>37</v>
      </c>
      <c r="E247" s="47" t="s">
        <v>17</v>
      </c>
      <c r="F247" s="59" t="s">
        <v>47</v>
      </c>
      <c r="G247" s="43" t="s">
        <v>19</v>
      </c>
      <c r="H247" s="47"/>
      <c r="I247" s="44" t="str">
        <f t="shared" si="3"/>
        <v/>
      </c>
      <c r="J247" s="47"/>
      <c r="L247" s="55"/>
      <c r="M247" s="56">
        <v>518705.58</v>
      </c>
    </row>
    <row r="248" spans="1:13" ht="15.75" customHeight="1" x14ac:dyDescent="0.2">
      <c r="A248" s="39" t="s">
        <v>551</v>
      </c>
      <c r="B248" s="40" t="s">
        <v>552</v>
      </c>
      <c r="C248" s="39" t="s">
        <v>54</v>
      </c>
      <c r="D248" s="41" t="s">
        <v>37</v>
      </c>
      <c r="E248" s="39" t="s">
        <v>17</v>
      </c>
      <c r="F248" s="42" t="s">
        <v>18</v>
      </c>
      <c r="G248" s="43" t="s">
        <v>19</v>
      </c>
      <c r="H248" s="39"/>
      <c r="I248" s="44" t="str">
        <f t="shared" si="3"/>
        <v/>
      </c>
      <c r="J248" s="39"/>
      <c r="L248" s="45"/>
      <c r="M248" s="46">
        <v>515468.84</v>
      </c>
    </row>
    <row r="249" spans="1:13" ht="15.75" customHeight="1" x14ac:dyDescent="0.2">
      <c r="A249" s="47" t="s">
        <v>553</v>
      </c>
      <c r="B249" s="48" t="s">
        <v>554</v>
      </c>
      <c r="C249" s="47" t="s">
        <v>106</v>
      </c>
      <c r="D249" s="49" t="s">
        <v>37</v>
      </c>
      <c r="E249" s="47" t="s">
        <v>17</v>
      </c>
      <c r="F249" s="59" t="s">
        <v>47</v>
      </c>
      <c r="G249" s="43" t="s">
        <v>19</v>
      </c>
      <c r="H249" s="47"/>
      <c r="I249" s="44" t="str">
        <f t="shared" si="3"/>
        <v/>
      </c>
      <c r="J249" s="47"/>
      <c r="L249" s="55"/>
      <c r="M249" s="56">
        <v>512268.84</v>
      </c>
    </row>
    <row r="250" spans="1:13" ht="15.75" customHeight="1" x14ac:dyDescent="0.2">
      <c r="A250" s="39" t="s">
        <v>555</v>
      </c>
      <c r="B250" s="40" t="s">
        <v>556</v>
      </c>
      <c r="C250" s="39" t="s">
        <v>273</v>
      </c>
      <c r="D250" s="41" t="s">
        <v>37</v>
      </c>
      <c r="E250" s="39" t="s">
        <v>17</v>
      </c>
      <c r="F250" s="42" t="s">
        <v>18</v>
      </c>
      <c r="G250" s="43" t="s">
        <v>19</v>
      </c>
      <c r="H250" s="39"/>
      <c r="I250" s="44" t="str">
        <f t="shared" si="3"/>
        <v/>
      </c>
      <c r="J250" s="39"/>
      <c r="L250" s="45"/>
      <c r="M250" s="46">
        <v>506138.15</v>
      </c>
    </row>
    <row r="251" spans="1:13" ht="15.75" customHeight="1" x14ac:dyDescent="0.2">
      <c r="A251" s="39" t="s">
        <v>557</v>
      </c>
      <c r="B251" s="40" t="s">
        <v>558</v>
      </c>
      <c r="C251" s="39" t="s">
        <v>54</v>
      </c>
      <c r="D251" s="41" t="s">
        <v>126</v>
      </c>
      <c r="E251" s="39" t="s">
        <v>17</v>
      </c>
      <c r="F251" s="58" t="s">
        <v>47</v>
      </c>
      <c r="G251" s="43" t="s">
        <v>19</v>
      </c>
      <c r="H251" s="39"/>
      <c r="I251" s="44" t="str">
        <f t="shared" si="3"/>
        <v/>
      </c>
      <c r="J251" s="39"/>
      <c r="L251" s="45"/>
      <c r="M251" s="46">
        <v>502231.74</v>
      </c>
    </row>
    <row r="252" spans="1:13" ht="15.75" customHeight="1" x14ac:dyDescent="0.2">
      <c r="A252" s="39" t="s">
        <v>559</v>
      </c>
      <c r="B252" s="40" t="s">
        <v>560</v>
      </c>
      <c r="C252" s="39" t="s">
        <v>75</v>
      </c>
      <c r="D252" s="41" t="s">
        <v>37</v>
      </c>
      <c r="E252" s="39" t="s">
        <v>17</v>
      </c>
      <c r="F252" s="58" t="s">
        <v>47</v>
      </c>
      <c r="G252" s="43" t="s">
        <v>19</v>
      </c>
      <c r="H252" s="39"/>
      <c r="I252" s="44" t="str">
        <f t="shared" si="3"/>
        <v/>
      </c>
      <c r="J252" s="39"/>
      <c r="L252" s="45"/>
      <c r="M252" s="46">
        <v>498198.4</v>
      </c>
    </row>
    <row r="253" spans="1:13" ht="15.75" customHeight="1" x14ac:dyDescent="0.2">
      <c r="A253" s="47" t="s">
        <v>561</v>
      </c>
      <c r="B253" s="48" t="s">
        <v>562</v>
      </c>
      <c r="C253" s="47" t="s">
        <v>106</v>
      </c>
      <c r="D253" s="49" t="s">
        <v>29</v>
      </c>
      <c r="E253" s="47" t="s">
        <v>17</v>
      </c>
      <c r="F253" s="57" t="s">
        <v>18</v>
      </c>
      <c r="G253" s="43" t="s">
        <v>19</v>
      </c>
      <c r="H253" s="47"/>
      <c r="I253" s="44" t="str">
        <f t="shared" si="3"/>
        <v/>
      </c>
      <c r="J253" s="47"/>
      <c r="L253" s="55"/>
      <c r="M253" s="56">
        <v>486786.33</v>
      </c>
    </row>
    <row r="254" spans="1:13" ht="15.75" customHeight="1" x14ac:dyDescent="0.2">
      <c r="A254" s="47" t="s">
        <v>563</v>
      </c>
      <c r="B254" s="48" t="s">
        <v>564</v>
      </c>
      <c r="C254" s="47" t="s">
        <v>92</v>
      </c>
      <c r="D254" s="49" t="s">
        <v>126</v>
      </c>
      <c r="E254" s="47" t="s">
        <v>17</v>
      </c>
      <c r="F254" s="59" t="s">
        <v>47</v>
      </c>
      <c r="G254" s="43" t="s">
        <v>19</v>
      </c>
      <c r="H254" s="47"/>
      <c r="I254" s="44" t="str">
        <f t="shared" si="3"/>
        <v/>
      </c>
      <c r="J254" s="47"/>
      <c r="L254" s="55"/>
      <c r="M254" s="56">
        <v>481642.74</v>
      </c>
    </row>
    <row r="255" spans="1:13" ht="15.75" customHeight="1" x14ac:dyDescent="0.2">
      <c r="A255" s="47" t="s">
        <v>565</v>
      </c>
      <c r="B255" s="48" t="s">
        <v>566</v>
      </c>
      <c r="C255" s="47" t="s">
        <v>242</v>
      </c>
      <c r="D255" s="49" t="s">
        <v>37</v>
      </c>
      <c r="E255" s="47" t="s">
        <v>17</v>
      </c>
      <c r="F255" s="57" t="s">
        <v>18</v>
      </c>
      <c r="G255" s="43" t="s">
        <v>19</v>
      </c>
      <c r="H255" s="47"/>
      <c r="I255" s="44" t="str">
        <f t="shared" si="3"/>
        <v/>
      </c>
      <c r="J255" s="47"/>
      <c r="L255" s="55"/>
      <c r="M255" s="56">
        <v>479429.11</v>
      </c>
    </row>
    <row r="256" spans="1:13" ht="15.75" customHeight="1" x14ac:dyDescent="0.2">
      <c r="A256" s="39" t="s">
        <v>567</v>
      </c>
      <c r="B256" s="40" t="s">
        <v>568</v>
      </c>
      <c r="C256" s="39" t="s">
        <v>62</v>
      </c>
      <c r="D256" s="41" t="s">
        <v>29</v>
      </c>
      <c r="E256" s="39" t="s">
        <v>17</v>
      </c>
      <c r="F256" s="42" t="s">
        <v>18</v>
      </c>
      <c r="G256" s="43" t="s">
        <v>19</v>
      </c>
      <c r="H256" s="39"/>
      <c r="I256" s="44" t="str">
        <f t="shared" si="3"/>
        <v/>
      </c>
      <c r="J256" s="39"/>
      <c r="L256" s="45"/>
      <c r="M256" s="46">
        <v>472302.46</v>
      </c>
    </row>
    <row r="257" spans="1:13" ht="15.75" customHeight="1" x14ac:dyDescent="0.2">
      <c r="A257" s="47" t="s">
        <v>569</v>
      </c>
      <c r="B257" s="48" t="s">
        <v>570</v>
      </c>
      <c r="C257" s="47" t="s">
        <v>273</v>
      </c>
      <c r="D257" s="49" t="s">
        <v>37</v>
      </c>
      <c r="E257" s="47" t="s">
        <v>17</v>
      </c>
      <c r="F257" s="59" t="s">
        <v>47</v>
      </c>
      <c r="G257" s="43" t="s">
        <v>19</v>
      </c>
      <c r="H257" s="47"/>
      <c r="I257" s="44" t="str">
        <f t="shared" si="3"/>
        <v/>
      </c>
      <c r="J257" s="47"/>
      <c r="L257" s="55"/>
      <c r="M257" s="56">
        <v>457381.01</v>
      </c>
    </row>
    <row r="258" spans="1:13" ht="15.75" customHeight="1" x14ac:dyDescent="0.2">
      <c r="A258" s="39" t="s">
        <v>571</v>
      </c>
      <c r="B258" s="40" t="s">
        <v>572</v>
      </c>
      <c r="C258" s="39" t="s">
        <v>273</v>
      </c>
      <c r="D258" s="41" t="s">
        <v>37</v>
      </c>
      <c r="E258" s="39" t="s">
        <v>17</v>
      </c>
      <c r="F258" s="58" t="s">
        <v>47</v>
      </c>
      <c r="G258" s="43" t="s">
        <v>19</v>
      </c>
      <c r="H258" s="39"/>
      <c r="I258" s="44" t="str">
        <f t="shared" ref="I258:I321" si="4">IF(H258="","",H258+9)</f>
        <v/>
      </c>
      <c r="J258" s="39"/>
      <c r="L258" s="45"/>
      <c r="M258" s="46">
        <v>456907.86</v>
      </c>
    </row>
    <row r="259" spans="1:13" ht="15.75" customHeight="1" x14ac:dyDescent="0.2">
      <c r="A259" s="39" t="s">
        <v>573</v>
      </c>
      <c r="B259" s="40" t="s">
        <v>574</v>
      </c>
      <c r="C259" s="39" t="s">
        <v>62</v>
      </c>
      <c r="D259" s="41" t="s">
        <v>16</v>
      </c>
      <c r="E259" s="39" t="s">
        <v>17</v>
      </c>
      <c r="F259" s="42" t="s">
        <v>18</v>
      </c>
      <c r="G259" s="43" t="s">
        <v>19</v>
      </c>
      <c r="H259" s="39"/>
      <c r="I259" s="44" t="str">
        <f t="shared" si="4"/>
        <v/>
      </c>
      <c r="J259" s="39"/>
      <c r="L259" s="45"/>
      <c r="M259" s="46">
        <v>453498.84</v>
      </c>
    </row>
    <row r="260" spans="1:13" ht="15.75" customHeight="1" x14ac:dyDescent="0.2">
      <c r="A260" s="47" t="s">
        <v>575</v>
      </c>
      <c r="B260" s="48" t="s">
        <v>576</v>
      </c>
      <c r="C260" s="47" t="s">
        <v>50</v>
      </c>
      <c r="D260" s="49" t="s">
        <v>126</v>
      </c>
      <c r="E260" s="47" t="s">
        <v>109</v>
      </c>
      <c r="F260" s="57" t="s">
        <v>18</v>
      </c>
      <c r="G260" s="43" t="s">
        <v>19</v>
      </c>
      <c r="H260" s="47"/>
      <c r="I260" s="44" t="str">
        <f t="shared" si="4"/>
        <v/>
      </c>
      <c r="J260" s="47"/>
      <c r="L260" s="55"/>
      <c r="M260" s="56">
        <v>452787.3</v>
      </c>
    </row>
    <row r="261" spans="1:13" ht="15.75" customHeight="1" x14ac:dyDescent="0.2">
      <c r="A261" s="47" t="s">
        <v>577</v>
      </c>
      <c r="B261" s="48" t="s">
        <v>578</v>
      </c>
      <c r="C261" s="47" t="s">
        <v>54</v>
      </c>
      <c r="D261" s="49" t="s">
        <v>126</v>
      </c>
      <c r="E261" s="47" t="s">
        <v>17</v>
      </c>
      <c r="F261" s="57" t="s">
        <v>18</v>
      </c>
      <c r="G261" s="43" t="s">
        <v>19</v>
      </c>
      <c r="H261" s="47"/>
      <c r="I261" s="44" t="str">
        <f t="shared" si="4"/>
        <v/>
      </c>
      <c r="J261" s="47"/>
      <c r="L261" s="55"/>
      <c r="M261" s="56">
        <v>451830.12</v>
      </c>
    </row>
    <row r="262" spans="1:13" ht="15.75" customHeight="1" x14ac:dyDescent="0.2">
      <c r="A262" s="39" t="s">
        <v>579</v>
      </c>
      <c r="B262" s="40" t="s">
        <v>580</v>
      </c>
      <c r="C262" s="39" t="s">
        <v>75</v>
      </c>
      <c r="D262" s="41" t="s">
        <v>37</v>
      </c>
      <c r="E262" s="39" t="s">
        <v>17</v>
      </c>
      <c r="F262" s="42" t="s">
        <v>18</v>
      </c>
      <c r="G262" s="43" t="s">
        <v>19</v>
      </c>
      <c r="H262" s="39"/>
      <c r="I262" s="44" t="str">
        <f t="shared" si="4"/>
        <v/>
      </c>
      <c r="J262" s="39"/>
      <c r="L262" s="45"/>
      <c r="M262" s="46">
        <v>443712.55</v>
      </c>
    </row>
    <row r="263" spans="1:13" ht="15.75" customHeight="1" x14ac:dyDescent="0.2">
      <c r="A263" s="39" t="s">
        <v>581</v>
      </c>
      <c r="B263" s="40" t="s">
        <v>582</v>
      </c>
      <c r="C263" s="39" t="s">
        <v>242</v>
      </c>
      <c r="D263" s="41" t="s">
        <v>37</v>
      </c>
      <c r="E263" s="39" t="s">
        <v>17</v>
      </c>
      <c r="F263" s="42" t="s">
        <v>18</v>
      </c>
      <c r="G263" s="43" t="s">
        <v>19</v>
      </c>
      <c r="H263" s="39"/>
      <c r="I263" s="44" t="str">
        <f t="shared" si="4"/>
        <v/>
      </c>
      <c r="J263" s="39"/>
      <c r="L263" s="45"/>
      <c r="M263" s="46">
        <v>443483.89</v>
      </c>
    </row>
    <row r="264" spans="1:13" ht="15.75" customHeight="1" x14ac:dyDescent="0.2">
      <c r="A264" s="47" t="s">
        <v>583</v>
      </c>
      <c r="B264" s="48" t="s">
        <v>584</v>
      </c>
      <c r="C264" s="47" t="s">
        <v>62</v>
      </c>
      <c r="D264" s="49" t="s">
        <v>37</v>
      </c>
      <c r="E264" s="47" t="s">
        <v>17</v>
      </c>
      <c r="F264" s="57" t="s">
        <v>18</v>
      </c>
      <c r="G264" s="43" t="s">
        <v>19</v>
      </c>
      <c r="H264" s="47"/>
      <c r="I264" s="44" t="str">
        <f t="shared" si="4"/>
        <v/>
      </c>
      <c r="J264" s="47"/>
      <c r="L264" s="55"/>
      <c r="M264" s="56">
        <v>434914.47</v>
      </c>
    </row>
    <row r="265" spans="1:13" ht="15.75" customHeight="1" x14ac:dyDescent="0.2">
      <c r="A265" s="39" t="s">
        <v>585</v>
      </c>
      <c r="B265" s="40" t="s">
        <v>586</v>
      </c>
      <c r="C265" s="39" t="s">
        <v>59</v>
      </c>
      <c r="D265" s="41" t="s">
        <v>126</v>
      </c>
      <c r="E265" s="39" t="s">
        <v>17</v>
      </c>
      <c r="F265" s="60" t="str">
        <f>HYPERLINK("https://opramachine.com/alaveteli_pro/info_requests/request_for_fsmc_bid_and_scoring_23","Link")</f>
        <v>Link</v>
      </c>
      <c r="G265" s="51" t="s">
        <v>283</v>
      </c>
      <c r="H265" s="44">
        <v>46125</v>
      </c>
      <c r="I265" s="44">
        <f t="shared" si="4"/>
        <v>46134</v>
      </c>
      <c r="J265" s="61">
        <v>46128</v>
      </c>
      <c r="K265" s="54" t="s">
        <v>587</v>
      </c>
      <c r="L265" s="45"/>
      <c r="M265" s="46">
        <v>428733.57</v>
      </c>
    </row>
    <row r="266" spans="1:13" ht="15.75" customHeight="1" x14ac:dyDescent="0.2">
      <c r="A266" s="39" t="s">
        <v>588</v>
      </c>
      <c r="B266" s="40" t="s">
        <v>589</v>
      </c>
      <c r="C266" s="39" t="s">
        <v>62</v>
      </c>
      <c r="D266" s="41" t="s">
        <v>37</v>
      </c>
      <c r="E266" s="39" t="s">
        <v>17</v>
      </c>
      <c r="F266" s="58" t="s">
        <v>47</v>
      </c>
      <c r="G266" s="43" t="s">
        <v>19</v>
      </c>
      <c r="H266" s="39"/>
      <c r="I266" s="44" t="str">
        <f t="shared" si="4"/>
        <v/>
      </c>
      <c r="J266" s="39"/>
      <c r="L266" s="45"/>
      <c r="M266" s="46">
        <v>425483.89</v>
      </c>
    </row>
    <row r="267" spans="1:13" ht="15.75" customHeight="1" x14ac:dyDescent="0.2">
      <c r="A267" s="39" t="s">
        <v>590</v>
      </c>
      <c r="B267" s="40" t="s">
        <v>591</v>
      </c>
      <c r="C267" s="39" t="s">
        <v>28</v>
      </c>
      <c r="D267" s="41" t="s">
        <v>29</v>
      </c>
      <c r="E267" s="39" t="s">
        <v>17</v>
      </c>
      <c r="F267" s="58" t="s">
        <v>47</v>
      </c>
      <c r="G267" s="43" t="s">
        <v>19</v>
      </c>
      <c r="H267" s="39"/>
      <c r="I267" s="44" t="str">
        <f t="shared" si="4"/>
        <v/>
      </c>
      <c r="J267" s="39"/>
      <c r="L267" s="45"/>
      <c r="M267" s="46">
        <v>423943.89</v>
      </c>
    </row>
    <row r="268" spans="1:13" ht="15.75" customHeight="1" x14ac:dyDescent="0.2">
      <c r="A268" s="39" t="s">
        <v>592</v>
      </c>
      <c r="B268" s="40" t="s">
        <v>593</v>
      </c>
      <c r="C268" s="39" t="s">
        <v>92</v>
      </c>
      <c r="D268" s="41" t="s">
        <v>126</v>
      </c>
      <c r="E268" s="39" t="s">
        <v>17</v>
      </c>
      <c r="F268" s="58" t="s">
        <v>47</v>
      </c>
      <c r="G268" s="43" t="s">
        <v>19</v>
      </c>
      <c r="H268" s="39"/>
      <c r="I268" s="44" t="str">
        <f t="shared" si="4"/>
        <v/>
      </c>
      <c r="J268" s="39"/>
      <c r="L268" s="45"/>
      <c r="M268" s="46">
        <v>421096.6</v>
      </c>
    </row>
    <row r="269" spans="1:13" ht="15.75" customHeight="1" x14ac:dyDescent="0.2">
      <c r="A269" s="39" t="s">
        <v>594</v>
      </c>
      <c r="B269" s="40" t="s">
        <v>595</v>
      </c>
      <c r="C269" s="39" t="s">
        <v>130</v>
      </c>
      <c r="D269" s="41" t="s">
        <v>126</v>
      </c>
      <c r="E269" s="39" t="s">
        <v>17</v>
      </c>
      <c r="F269" s="58" t="s">
        <v>47</v>
      </c>
      <c r="G269" s="43" t="s">
        <v>19</v>
      </c>
      <c r="H269" s="39"/>
      <c r="I269" s="44" t="str">
        <f t="shared" si="4"/>
        <v/>
      </c>
      <c r="J269" s="39"/>
      <c r="L269" s="45"/>
      <c r="M269" s="46">
        <v>419481.16</v>
      </c>
    </row>
    <row r="270" spans="1:13" ht="15.75" customHeight="1" x14ac:dyDescent="0.2">
      <c r="A270" s="39" t="s">
        <v>596</v>
      </c>
      <c r="B270" s="40" t="s">
        <v>597</v>
      </c>
      <c r="C270" s="39" t="s">
        <v>28</v>
      </c>
      <c r="D270" s="41" t="s">
        <v>29</v>
      </c>
      <c r="E270" s="39" t="s">
        <v>17</v>
      </c>
      <c r="F270" s="58" t="s">
        <v>47</v>
      </c>
      <c r="G270" s="43" t="s">
        <v>19</v>
      </c>
      <c r="H270" s="39"/>
      <c r="I270" s="44" t="str">
        <f t="shared" si="4"/>
        <v/>
      </c>
      <c r="J270" s="39"/>
      <c r="L270" s="45"/>
      <c r="M270" s="46">
        <v>418174.31</v>
      </c>
    </row>
    <row r="271" spans="1:13" ht="15.75" customHeight="1" x14ac:dyDescent="0.2">
      <c r="A271" s="39" t="s">
        <v>598</v>
      </c>
      <c r="B271" s="40" t="s">
        <v>599</v>
      </c>
      <c r="C271" s="39" t="s">
        <v>280</v>
      </c>
      <c r="D271" s="41" t="s">
        <v>126</v>
      </c>
      <c r="E271" s="39" t="s">
        <v>17</v>
      </c>
      <c r="F271" s="42" t="s">
        <v>18</v>
      </c>
      <c r="G271" s="43" t="s">
        <v>19</v>
      </c>
      <c r="H271" s="39"/>
      <c r="I271" s="44" t="str">
        <f t="shared" si="4"/>
        <v/>
      </c>
      <c r="J271" s="39"/>
      <c r="L271" s="45"/>
      <c r="M271" s="46">
        <v>411528</v>
      </c>
    </row>
    <row r="272" spans="1:13" ht="15.75" customHeight="1" x14ac:dyDescent="0.2">
      <c r="A272" s="39" t="s">
        <v>600</v>
      </c>
      <c r="B272" s="40" t="s">
        <v>601</v>
      </c>
      <c r="C272" s="39" t="s">
        <v>106</v>
      </c>
      <c r="D272" s="41" t="s">
        <v>29</v>
      </c>
      <c r="E272" s="39" t="s">
        <v>17</v>
      </c>
      <c r="F272" s="58" t="s">
        <v>47</v>
      </c>
      <c r="G272" s="43" t="s">
        <v>19</v>
      </c>
      <c r="H272" s="39"/>
      <c r="I272" s="44" t="str">
        <f t="shared" si="4"/>
        <v/>
      </c>
      <c r="J272" s="39"/>
      <c r="L272" s="45"/>
      <c r="M272" s="46">
        <v>403649.29</v>
      </c>
    </row>
    <row r="273" spans="1:13" ht="15.75" customHeight="1" x14ac:dyDescent="0.2">
      <c r="A273" s="47" t="s">
        <v>602</v>
      </c>
      <c r="B273" s="48" t="s">
        <v>603</v>
      </c>
      <c r="C273" s="47" t="s">
        <v>50</v>
      </c>
      <c r="D273" s="49" t="s">
        <v>126</v>
      </c>
      <c r="E273" s="47" t="s">
        <v>17</v>
      </c>
      <c r="F273" s="59" t="s">
        <v>47</v>
      </c>
      <c r="G273" s="43" t="s">
        <v>19</v>
      </c>
      <c r="H273" s="47"/>
      <c r="I273" s="44" t="str">
        <f t="shared" si="4"/>
        <v/>
      </c>
      <c r="J273" s="47"/>
      <c r="L273" s="55"/>
      <c r="M273" s="56">
        <v>403451.2</v>
      </c>
    </row>
    <row r="274" spans="1:13" ht="15.75" customHeight="1" x14ac:dyDescent="0.2">
      <c r="A274" s="39" t="s">
        <v>604</v>
      </c>
      <c r="B274" s="40" t="s">
        <v>605</v>
      </c>
      <c r="C274" s="39" t="s">
        <v>40</v>
      </c>
      <c r="D274" s="41" t="s">
        <v>29</v>
      </c>
      <c r="E274" s="39" t="s">
        <v>17</v>
      </c>
      <c r="F274" s="58" t="s">
        <v>47</v>
      </c>
      <c r="G274" s="43" t="s">
        <v>19</v>
      </c>
      <c r="H274" s="39"/>
      <c r="I274" s="44" t="str">
        <f t="shared" si="4"/>
        <v/>
      </c>
      <c r="J274" s="39"/>
      <c r="L274" s="45"/>
      <c r="M274" s="46">
        <v>401405.74</v>
      </c>
    </row>
    <row r="275" spans="1:13" ht="15.75" customHeight="1" x14ac:dyDescent="0.2">
      <c r="A275" s="47" t="s">
        <v>606</v>
      </c>
      <c r="B275" s="48" t="s">
        <v>607</v>
      </c>
      <c r="C275" s="47" t="s">
        <v>92</v>
      </c>
      <c r="D275" s="49" t="s">
        <v>126</v>
      </c>
      <c r="E275" s="47" t="s">
        <v>17</v>
      </c>
      <c r="F275" s="59" t="s">
        <v>47</v>
      </c>
      <c r="G275" s="43" t="s">
        <v>19</v>
      </c>
      <c r="H275" s="47"/>
      <c r="I275" s="44" t="str">
        <f t="shared" si="4"/>
        <v/>
      </c>
      <c r="J275" s="47"/>
      <c r="L275" s="55"/>
      <c r="M275" s="56">
        <v>394554.12</v>
      </c>
    </row>
    <row r="276" spans="1:13" ht="15.75" customHeight="1" x14ac:dyDescent="0.2">
      <c r="A276" s="39" t="s">
        <v>608</v>
      </c>
      <c r="B276" s="40" t="s">
        <v>609</v>
      </c>
      <c r="C276" s="39" t="s">
        <v>280</v>
      </c>
      <c r="D276" s="41" t="s">
        <v>126</v>
      </c>
      <c r="E276" s="39" t="s">
        <v>17</v>
      </c>
      <c r="F276" s="58" t="s">
        <v>47</v>
      </c>
      <c r="G276" s="43" t="s">
        <v>19</v>
      </c>
      <c r="H276" s="39"/>
      <c r="I276" s="44" t="str">
        <f t="shared" si="4"/>
        <v/>
      </c>
      <c r="J276" s="39"/>
      <c r="L276" s="45"/>
      <c r="M276" s="46">
        <v>393046</v>
      </c>
    </row>
    <row r="277" spans="1:13" ht="15.75" customHeight="1" x14ac:dyDescent="0.2">
      <c r="A277" s="39" t="s">
        <v>610</v>
      </c>
      <c r="B277" s="40" t="s">
        <v>611</v>
      </c>
      <c r="C277" s="39" t="s">
        <v>75</v>
      </c>
      <c r="D277" s="41" t="s">
        <v>126</v>
      </c>
      <c r="E277" s="39" t="s">
        <v>109</v>
      </c>
      <c r="F277" s="58" t="s">
        <v>47</v>
      </c>
      <c r="G277" s="43" t="s">
        <v>19</v>
      </c>
      <c r="H277" s="39"/>
      <c r="I277" s="44" t="str">
        <f t="shared" si="4"/>
        <v/>
      </c>
      <c r="J277" s="39"/>
      <c r="L277" s="45"/>
      <c r="M277" s="46">
        <v>386085.45</v>
      </c>
    </row>
    <row r="278" spans="1:13" ht="15.75" customHeight="1" x14ac:dyDescent="0.2">
      <c r="A278" s="47" t="s">
        <v>612</v>
      </c>
      <c r="B278" s="48" t="s">
        <v>613</v>
      </c>
      <c r="C278" s="47" t="s">
        <v>36</v>
      </c>
      <c r="D278" s="49" t="s">
        <v>37</v>
      </c>
      <c r="E278" s="47" t="s">
        <v>17</v>
      </c>
      <c r="F278" s="57" t="s">
        <v>18</v>
      </c>
      <c r="G278" s="43" t="s">
        <v>19</v>
      </c>
      <c r="H278" s="47"/>
      <c r="I278" s="44" t="str">
        <f t="shared" si="4"/>
        <v/>
      </c>
      <c r="J278" s="47"/>
      <c r="L278" s="55"/>
      <c r="M278" s="56">
        <v>385128.87</v>
      </c>
    </row>
    <row r="279" spans="1:13" ht="15.75" customHeight="1" x14ac:dyDescent="0.2">
      <c r="A279" s="39" t="s">
        <v>614</v>
      </c>
      <c r="B279" s="40" t="s">
        <v>615</v>
      </c>
      <c r="C279" s="39" t="s">
        <v>54</v>
      </c>
      <c r="D279" s="41" t="s">
        <v>37</v>
      </c>
      <c r="E279" s="39" t="s">
        <v>17</v>
      </c>
      <c r="F279" s="42" t="s">
        <v>18</v>
      </c>
      <c r="G279" s="43" t="s">
        <v>19</v>
      </c>
      <c r="H279" s="39"/>
      <c r="I279" s="44" t="str">
        <f t="shared" si="4"/>
        <v/>
      </c>
      <c r="J279" s="39"/>
      <c r="L279" s="45"/>
      <c r="M279" s="46">
        <v>382246.39</v>
      </c>
    </row>
    <row r="280" spans="1:13" ht="15.75" customHeight="1" x14ac:dyDescent="0.2">
      <c r="A280" s="47" t="s">
        <v>616</v>
      </c>
      <c r="B280" s="48" t="s">
        <v>617</v>
      </c>
      <c r="C280" s="47" t="s">
        <v>62</v>
      </c>
      <c r="D280" s="49" t="s">
        <v>29</v>
      </c>
      <c r="E280" s="47" t="s">
        <v>17</v>
      </c>
      <c r="F280" s="59" t="s">
        <v>47</v>
      </c>
      <c r="G280" s="43" t="s">
        <v>19</v>
      </c>
      <c r="H280" s="47"/>
      <c r="I280" s="44" t="str">
        <f t="shared" si="4"/>
        <v/>
      </c>
      <c r="J280" s="47"/>
      <c r="L280" s="55"/>
      <c r="M280" s="56">
        <v>380252.9</v>
      </c>
    </row>
    <row r="281" spans="1:13" ht="15.75" customHeight="1" x14ac:dyDescent="0.2">
      <c r="A281" s="39" t="s">
        <v>618</v>
      </c>
      <c r="B281" s="40" t="s">
        <v>619</v>
      </c>
      <c r="C281" s="39" t="s">
        <v>92</v>
      </c>
      <c r="D281" s="41" t="s">
        <v>126</v>
      </c>
      <c r="E281" s="39" t="s">
        <v>17</v>
      </c>
      <c r="F281" s="58" t="s">
        <v>47</v>
      </c>
      <c r="G281" s="43" t="s">
        <v>19</v>
      </c>
      <c r="H281" s="39"/>
      <c r="I281" s="44" t="str">
        <f t="shared" si="4"/>
        <v/>
      </c>
      <c r="J281" s="39"/>
      <c r="L281" s="45"/>
      <c r="M281" s="46">
        <v>377763.31</v>
      </c>
    </row>
    <row r="282" spans="1:13" ht="15.75" customHeight="1" x14ac:dyDescent="0.2">
      <c r="A282" s="39" t="s">
        <v>620</v>
      </c>
      <c r="B282" s="40" t="s">
        <v>621</v>
      </c>
      <c r="C282" s="39" t="s">
        <v>106</v>
      </c>
      <c r="D282" s="41"/>
      <c r="E282" s="39" t="s">
        <v>17</v>
      </c>
      <c r="F282" s="42" t="s">
        <v>18</v>
      </c>
      <c r="G282" s="43" t="s">
        <v>19</v>
      </c>
      <c r="H282" s="39"/>
      <c r="I282" s="44" t="str">
        <f t="shared" si="4"/>
        <v/>
      </c>
      <c r="J282" s="39"/>
      <c r="L282" s="45"/>
      <c r="M282" s="46">
        <v>376562.4</v>
      </c>
    </row>
    <row r="283" spans="1:13" ht="15.75" customHeight="1" x14ac:dyDescent="0.2">
      <c r="A283" s="39" t="s">
        <v>622</v>
      </c>
      <c r="B283" s="40" t="s">
        <v>623</v>
      </c>
      <c r="C283" s="39" t="s">
        <v>138</v>
      </c>
      <c r="D283" s="41" t="s">
        <v>126</v>
      </c>
      <c r="E283" s="39" t="s">
        <v>17</v>
      </c>
      <c r="F283" s="58" t="s">
        <v>47</v>
      </c>
      <c r="G283" s="43" t="s">
        <v>19</v>
      </c>
      <c r="H283" s="39"/>
      <c r="I283" s="44" t="str">
        <f t="shared" si="4"/>
        <v/>
      </c>
      <c r="J283" s="39"/>
      <c r="L283" s="45"/>
      <c r="M283" s="46">
        <v>376177.91</v>
      </c>
    </row>
    <row r="284" spans="1:13" ht="15.75" customHeight="1" x14ac:dyDescent="0.2">
      <c r="A284" s="47" t="s">
        <v>624</v>
      </c>
      <c r="B284" s="48" t="s">
        <v>625</v>
      </c>
      <c r="C284" s="47" t="s">
        <v>54</v>
      </c>
      <c r="D284" s="49" t="s">
        <v>126</v>
      </c>
      <c r="E284" s="47" t="s">
        <v>17</v>
      </c>
      <c r="F284" s="59" t="s">
        <v>47</v>
      </c>
      <c r="G284" s="43" t="s">
        <v>19</v>
      </c>
      <c r="H284" s="47"/>
      <c r="I284" s="44" t="str">
        <f t="shared" si="4"/>
        <v/>
      </c>
      <c r="J284" s="47"/>
      <c r="L284" s="55"/>
      <c r="M284" s="56">
        <v>373463.8</v>
      </c>
    </row>
    <row r="285" spans="1:13" ht="15.75" customHeight="1" x14ac:dyDescent="0.2">
      <c r="A285" s="39" t="s">
        <v>626</v>
      </c>
      <c r="B285" s="40" t="s">
        <v>627</v>
      </c>
      <c r="C285" s="39" t="s">
        <v>130</v>
      </c>
      <c r="D285" s="41" t="s">
        <v>126</v>
      </c>
      <c r="E285" s="39" t="s">
        <v>17</v>
      </c>
      <c r="F285" s="58" t="s">
        <v>47</v>
      </c>
      <c r="G285" s="43" t="s">
        <v>19</v>
      </c>
      <c r="H285" s="39"/>
      <c r="I285" s="44" t="str">
        <f t="shared" si="4"/>
        <v/>
      </c>
      <c r="J285" s="39"/>
      <c r="L285" s="45"/>
      <c r="M285" s="46">
        <v>372490.2</v>
      </c>
    </row>
    <row r="286" spans="1:13" ht="15.75" customHeight="1" x14ac:dyDescent="0.2">
      <c r="A286" s="47" t="s">
        <v>628</v>
      </c>
      <c r="B286" s="48" t="s">
        <v>629</v>
      </c>
      <c r="C286" s="47" t="s">
        <v>62</v>
      </c>
      <c r="D286" s="49" t="s">
        <v>37</v>
      </c>
      <c r="E286" s="47" t="s">
        <v>17</v>
      </c>
      <c r="F286" s="59" t="s">
        <v>47</v>
      </c>
      <c r="G286" s="43" t="s">
        <v>19</v>
      </c>
      <c r="H286" s="47"/>
      <c r="I286" s="44" t="str">
        <f t="shared" si="4"/>
        <v/>
      </c>
      <c r="J286" s="47"/>
      <c r="L286" s="55"/>
      <c r="M286" s="56">
        <v>363225.44</v>
      </c>
    </row>
    <row r="287" spans="1:13" ht="15.75" customHeight="1" x14ac:dyDescent="0.2">
      <c r="A287" s="47" t="s">
        <v>630</v>
      </c>
      <c r="B287" s="48" t="s">
        <v>631</v>
      </c>
      <c r="C287" s="47" t="s">
        <v>106</v>
      </c>
      <c r="D287" s="49" t="s">
        <v>37</v>
      </c>
      <c r="E287" s="47" t="s">
        <v>17</v>
      </c>
      <c r="F287" s="59" t="s">
        <v>47</v>
      </c>
      <c r="G287" s="43" t="s">
        <v>19</v>
      </c>
      <c r="H287" s="47"/>
      <c r="I287" s="44" t="str">
        <f t="shared" si="4"/>
        <v/>
      </c>
      <c r="J287" s="47"/>
      <c r="L287" s="55"/>
      <c r="M287" s="56">
        <v>358455.32</v>
      </c>
    </row>
    <row r="288" spans="1:13" ht="15.75" customHeight="1" x14ac:dyDescent="0.2">
      <c r="A288" s="47" t="s">
        <v>632</v>
      </c>
      <c r="B288" s="48" t="s">
        <v>633</v>
      </c>
      <c r="C288" s="47" t="s">
        <v>92</v>
      </c>
      <c r="D288" s="49" t="s">
        <v>126</v>
      </c>
      <c r="E288" s="47" t="s">
        <v>17</v>
      </c>
      <c r="F288" s="57" t="s">
        <v>18</v>
      </c>
      <c r="G288" s="43" t="s">
        <v>19</v>
      </c>
      <c r="H288" s="47"/>
      <c r="I288" s="44" t="str">
        <f t="shared" si="4"/>
        <v/>
      </c>
      <c r="J288" s="47"/>
      <c r="L288" s="55"/>
      <c r="M288" s="56">
        <v>353215.11</v>
      </c>
    </row>
    <row r="289" spans="1:13" ht="15.75" customHeight="1" x14ac:dyDescent="0.2">
      <c r="A289" s="39" t="s">
        <v>634</v>
      </c>
      <c r="B289" s="40" t="s">
        <v>635</v>
      </c>
      <c r="C289" s="39" t="s">
        <v>273</v>
      </c>
      <c r="D289" s="41" t="s">
        <v>37</v>
      </c>
      <c r="E289" s="39" t="s">
        <v>17</v>
      </c>
      <c r="F289" s="58" t="s">
        <v>47</v>
      </c>
      <c r="G289" s="43" t="s">
        <v>19</v>
      </c>
      <c r="H289" s="39"/>
      <c r="I289" s="44" t="str">
        <f t="shared" si="4"/>
        <v/>
      </c>
      <c r="J289" s="39"/>
      <c r="L289" s="45"/>
      <c r="M289" s="46">
        <v>351350.96</v>
      </c>
    </row>
    <row r="290" spans="1:13" ht="15.75" customHeight="1" x14ac:dyDescent="0.2">
      <c r="A290" s="39" t="s">
        <v>636</v>
      </c>
      <c r="B290" s="40" t="s">
        <v>637</v>
      </c>
      <c r="C290" s="39" t="s">
        <v>92</v>
      </c>
      <c r="D290" s="41" t="s">
        <v>126</v>
      </c>
      <c r="E290" s="39" t="s">
        <v>17</v>
      </c>
      <c r="F290" s="58" t="s">
        <v>47</v>
      </c>
      <c r="G290" s="43" t="s">
        <v>19</v>
      </c>
      <c r="H290" s="39"/>
      <c r="I290" s="44" t="str">
        <f t="shared" si="4"/>
        <v/>
      </c>
      <c r="J290" s="39"/>
      <c r="L290" s="45"/>
      <c r="M290" s="46">
        <v>348832.34</v>
      </c>
    </row>
    <row r="291" spans="1:13" ht="15.75" customHeight="1" x14ac:dyDescent="0.2">
      <c r="A291" s="47" t="s">
        <v>638</v>
      </c>
      <c r="B291" s="48" t="s">
        <v>639</v>
      </c>
      <c r="C291" s="47" t="s">
        <v>62</v>
      </c>
      <c r="D291" s="49" t="s">
        <v>29</v>
      </c>
      <c r="E291" s="47" t="s">
        <v>17</v>
      </c>
      <c r="F291" s="59" t="s">
        <v>47</v>
      </c>
      <c r="G291" s="43" t="s">
        <v>19</v>
      </c>
      <c r="H291" s="47"/>
      <c r="I291" s="44" t="str">
        <f t="shared" si="4"/>
        <v/>
      </c>
      <c r="J291" s="47"/>
      <c r="L291" s="55"/>
      <c r="M291" s="56">
        <v>341187.09</v>
      </c>
    </row>
    <row r="292" spans="1:13" ht="15.75" customHeight="1" x14ac:dyDescent="0.2">
      <c r="A292" s="39" t="s">
        <v>640</v>
      </c>
      <c r="B292" s="40" t="s">
        <v>641</v>
      </c>
      <c r="C292" s="39" t="s">
        <v>130</v>
      </c>
      <c r="D292" s="41" t="s">
        <v>126</v>
      </c>
      <c r="E292" s="39" t="s">
        <v>17</v>
      </c>
      <c r="F292" s="58" t="s">
        <v>47</v>
      </c>
      <c r="G292" s="43" t="s">
        <v>19</v>
      </c>
      <c r="H292" s="39"/>
      <c r="I292" s="44" t="str">
        <f t="shared" si="4"/>
        <v/>
      </c>
      <c r="J292" s="39"/>
      <c r="L292" s="45"/>
      <c r="M292" s="46">
        <v>339608.18</v>
      </c>
    </row>
    <row r="293" spans="1:13" ht="15.75" customHeight="1" x14ac:dyDescent="0.2">
      <c r="A293" s="39" t="s">
        <v>642</v>
      </c>
      <c r="B293" s="40" t="s">
        <v>643</v>
      </c>
      <c r="C293" s="39" t="s">
        <v>273</v>
      </c>
      <c r="D293" s="41" t="s">
        <v>37</v>
      </c>
      <c r="E293" s="39" t="s">
        <v>17</v>
      </c>
      <c r="F293" s="58" t="s">
        <v>47</v>
      </c>
      <c r="G293" s="43" t="s">
        <v>19</v>
      </c>
      <c r="H293" s="39"/>
      <c r="I293" s="44" t="str">
        <f t="shared" si="4"/>
        <v/>
      </c>
      <c r="J293" s="39"/>
      <c r="L293" s="45"/>
      <c r="M293" s="46">
        <v>338518.98</v>
      </c>
    </row>
    <row r="294" spans="1:13" ht="15.75" customHeight="1" x14ac:dyDescent="0.2">
      <c r="A294" s="47" t="s">
        <v>644</v>
      </c>
      <c r="B294" s="48" t="s">
        <v>645</v>
      </c>
      <c r="C294" s="47" t="s">
        <v>32</v>
      </c>
      <c r="D294" s="49" t="s">
        <v>37</v>
      </c>
      <c r="E294" s="47" t="s">
        <v>17</v>
      </c>
      <c r="F294" s="57" t="s">
        <v>18</v>
      </c>
      <c r="G294" s="43" t="s">
        <v>19</v>
      </c>
      <c r="H294" s="47"/>
      <c r="I294" s="44" t="str">
        <f t="shared" si="4"/>
        <v/>
      </c>
      <c r="J294" s="47"/>
      <c r="L294" s="55"/>
      <c r="M294" s="56">
        <v>330462.02</v>
      </c>
    </row>
    <row r="295" spans="1:13" ht="15.75" customHeight="1" x14ac:dyDescent="0.2">
      <c r="A295" s="39" t="s">
        <v>646</v>
      </c>
      <c r="B295" s="40" t="s">
        <v>647</v>
      </c>
      <c r="C295" s="39" t="s">
        <v>92</v>
      </c>
      <c r="D295" s="41" t="s">
        <v>126</v>
      </c>
      <c r="E295" s="39" t="s">
        <v>17</v>
      </c>
      <c r="F295" s="58" t="s">
        <v>47</v>
      </c>
      <c r="G295" s="43" t="s">
        <v>19</v>
      </c>
      <c r="H295" s="39"/>
      <c r="I295" s="44" t="str">
        <f t="shared" si="4"/>
        <v/>
      </c>
      <c r="J295" s="39"/>
      <c r="L295" s="45"/>
      <c r="M295" s="46">
        <v>328169.71999999997</v>
      </c>
    </row>
    <row r="296" spans="1:13" ht="15.75" customHeight="1" x14ac:dyDescent="0.2">
      <c r="A296" s="47" t="s">
        <v>648</v>
      </c>
      <c r="B296" s="48" t="s">
        <v>649</v>
      </c>
      <c r="C296" s="47" t="s">
        <v>28</v>
      </c>
      <c r="D296" s="49" t="s">
        <v>37</v>
      </c>
      <c r="E296" s="47" t="s">
        <v>17</v>
      </c>
      <c r="F296" s="59" t="s">
        <v>47</v>
      </c>
      <c r="G296" s="43" t="s">
        <v>19</v>
      </c>
      <c r="H296" s="47"/>
      <c r="I296" s="44" t="str">
        <f t="shared" si="4"/>
        <v/>
      </c>
      <c r="J296" s="47"/>
      <c r="L296" s="55"/>
      <c r="M296" s="56">
        <v>322655.49</v>
      </c>
    </row>
    <row r="297" spans="1:13" ht="15.75" customHeight="1" x14ac:dyDescent="0.2">
      <c r="A297" s="39" t="s">
        <v>650</v>
      </c>
      <c r="B297" s="40" t="s">
        <v>651</v>
      </c>
      <c r="C297" s="39" t="s">
        <v>92</v>
      </c>
      <c r="D297" s="41" t="s">
        <v>51</v>
      </c>
      <c r="E297" s="39" t="s">
        <v>17</v>
      </c>
      <c r="F297" s="58" t="s">
        <v>47</v>
      </c>
      <c r="G297" s="43" t="s">
        <v>19</v>
      </c>
      <c r="H297" s="39"/>
      <c r="I297" s="44" t="str">
        <f t="shared" si="4"/>
        <v/>
      </c>
      <c r="J297" s="39"/>
      <c r="L297" s="45"/>
      <c r="M297" s="46">
        <v>310793.58</v>
      </c>
    </row>
    <row r="298" spans="1:13" ht="15.75" customHeight="1" x14ac:dyDescent="0.2">
      <c r="A298" s="39" t="s">
        <v>652</v>
      </c>
      <c r="B298" s="40" t="s">
        <v>653</v>
      </c>
      <c r="C298" s="39" t="s">
        <v>106</v>
      </c>
      <c r="D298" s="41" t="s">
        <v>37</v>
      </c>
      <c r="E298" s="39" t="s">
        <v>17</v>
      </c>
      <c r="F298" s="58" t="s">
        <v>47</v>
      </c>
      <c r="G298" s="43" t="s">
        <v>19</v>
      </c>
      <c r="H298" s="39"/>
      <c r="I298" s="44" t="str">
        <f t="shared" si="4"/>
        <v/>
      </c>
      <c r="J298" s="39"/>
      <c r="L298" s="45"/>
      <c r="M298" s="46">
        <v>303142.57</v>
      </c>
    </row>
    <row r="299" spans="1:13" ht="15.75" customHeight="1" x14ac:dyDescent="0.2">
      <c r="A299" s="39" t="s">
        <v>654</v>
      </c>
      <c r="B299" s="40" t="s">
        <v>655</v>
      </c>
      <c r="C299" s="39" t="s">
        <v>80</v>
      </c>
      <c r="D299" s="41" t="s">
        <v>29</v>
      </c>
      <c r="E299" s="39" t="s">
        <v>17</v>
      </c>
      <c r="F299" s="42" t="s">
        <v>18</v>
      </c>
      <c r="G299" s="43" t="s">
        <v>19</v>
      </c>
      <c r="H299" s="39"/>
      <c r="I299" s="44" t="str">
        <f t="shared" si="4"/>
        <v/>
      </c>
      <c r="J299" s="39"/>
      <c r="L299" s="45"/>
      <c r="M299" s="46">
        <v>302388.90999999997</v>
      </c>
    </row>
    <row r="300" spans="1:13" ht="15.75" customHeight="1" x14ac:dyDescent="0.2">
      <c r="A300" s="47" t="s">
        <v>656</v>
      </c>
      <c r="B300" s="48" t="s">
        <v>657</v>
      </c>
      <c r="C300" s="47" t="s">
        <v>54</v>
      </c>
      <c r="D300" s="49" t="s">
        <v>37</v>
      </c>
      <c r="E300" s="47" t="s">
        <v>17</v>
      </c>
      <c r="F300" s="57" t="s">
        <v>18</v>
      </c>
      <c r="G300" s="43" t="s">
        <v>19</v>
      </c>
      <c r="H300" s="47"/>
      <c r="I300" s="44" t="str">
        <f t="shared" si="4"/>
        <v/>
      </c>
      <c r="J300" s="47"/>
      <c r="L300" s="55"/>
      <c r="M300" s="56">
        <v>302330.07</v>
      </c>
    </row>
    <row r="301" spans="1:13" ht="15.75" customHeight="1" x14ac:dyDescent="0.2">
      <c r="A301" s="39" t="s">
        <v>658</v>
      </c>
      <c r="B301" s="40" t="s">
        <v>659</v>
      </c>
      <c r="C301" s="39" t="s">
        <v>92</v>
      </c>
      <c r="D301" s="41" t="s">
        <v>126</v>
      </c>
      <c r="E301" s="39" t="s">
        <v>17</v>
      </c>
      <c r="F301" s="42" t="s">
        <v>18</v>
      </c>
      <c r="G301" s="43" t="s">
        <v>19</v>
      </c>
      <c r="H301" s="39"/>
      <c r="I301" s="44" t="str">
        <f t="shared" si="4"/>
        <v/>
      </c>
      <c r="J301" s="39"/>
      <c r="L301" s="45"/>
      <c r="M301" s="46">
        <v>291407.77</v>
      </c>
    </row>
    <row r="302" spans="1:13" ht="15.75" customHeight="1" x14ac:dyDescent="0.2">
      <c r="A302" s="39" t="s">
        <v>660</v>
      </c>
      <c r="B302" s="40" t="s">
        <v>661</v>
      </c>
      <c r="C302" s="39" t="s">
        <v>121</v>
      </c>
      <c r="D302" s="41" t="s">
        <v>37</v>
      </c>
      <c r="E302" s="39" t="s">
        <v>17</v>
      </c>
      <c r="F302" s="42" t="s">
        <v>18</v>
      </c>
      <c r="G302" s="43" t="s">
        <v>19</v>
      </c>
      <c r="H302" s="39"/>
      <c r="I302" s="44" t="str">
        <f t="shared" si="4"/>
        <v/>
      </c>
      <c r="J302" s="39"/>
      <c r="L302" s="45"/>
      <c r="M302" s="46">
        <v>290306</v>
      </c>
    </row>
    <row r="303" spans="1:13" ht="15.75" customHeight="1" x14ac:dyDescent="0.2">
      <c r="A303" s="47" t="s">
        <v>662</v>
      </c>
      <c r="B303" s="48" t="s">
        <v>663</v>
      </c>
      <c r="C303" s="47" t="s">
        <v>15</v>
      </c>
      <c r="D303" s="49" t="s">
        <v>37</v>
      </c>
      <c r="E303" s="47" t="s">
        <v>17</v>
      </c>
      <c r="F303" s="59" t="s">
        <v>47</v>
      </c>
      <c r="G303" s="43" t="s">
        <v>19</v>
      </c>
      <c r="H303" s="47"/>
      <c r="I303" s="44" t="str">
        <f t="shared" si="4"/>
        <v/>
      </c>
      <c r="J303" s="47"/>
      <c r="L303" s="55"/>
      <c r="M303" s="56">
        <v>289630.84999999998</v>
      </c>
    </row>
    <row r="304" spans="1:13" ht="15.75" customHeight="1" x14ac:dyDescent="0.2">
      <c r="A304" s="47" t="s">
        <v>664</v>
      </c>
      <c r="B304" s="48" t="s">
        <v>665</v>
      </c>
      <c r="C304" s="47" t="s">
        <v>54</v>
      </c>
      <c r="D304" s="49" t="s">
        <v>126</v>
      </c>
      <c r="E304" s="47" t="s">
        <v>17</v>
      </c>
      <c r="F304" s="59" t="s">
        <v>47</v>
      </c>
      <c r="G304" s="43" t="s">
        <v>19</v>
      </c>
      <c r="H304" s="47"/>
      <c r="I304" s="44" t="str">
        <f t="shared" si="4"/>
        <v/>
      </c>
      <c r="J304" s="47"/>
      <c r="L304" s="55"/>
      <c r="M304" s="56">
        <v>289475.21000000002</v>
      </c>
    </row>
    <row r="305" spans="1:13" ht="15.75" customHeight="1" x14ac:dyDescent="0.2">
      <c r="A305" s="39" t="s">
        <v>666</v>
      </c>
      <c r="B305" s="40" t="s">
        <v>667</v>
      </c>
      <c r="C305" s="39" t="s">
        <v>50</v>
      </c>
      <c r="D305" s="41" t="s">
        <v>126</v>
      </c>
      <c r="E305" s="39" t="s">
        <v>17</v>
      </c>
      <c r="F305" s="58" t="s">
        <v>47</v>
      </c>
      <c r="G305" s="43" t="s">
        <v>19</v>
      </c>
      <c r="H305" s="39"/>
      <c r="I305" s="44" t="str">
        <f t="shared" si="4"/>
        <v/>
      </c>
      <c r="J305" s="39"/>
      <c r="L305" s="45"/>
      <c r="M305" s="46">
        <v>288409.42</v>
      </c>
    </row>
    <row r="306" spans="1:13" ht="15.75" customHeight="1" x14ac:dyDescent="0.2">
      <c r="A306" s="39" t="s">
        <v>668</v>
      </c>
      <c r="B306" s="40" t="s">
        <v>669</v>
      </c>
      <c r="C306" s="39" t="s">
        <v>36</v>
      </c>
      <c r="D306" s="41" t="s">
        <v>37</v>
      </c>
      <c r="E306" s="39" t="s">
        <v>17</v>
      </c>
      <c r="F306" s="58" t="s">
        <v>47</v>
      </c>
      <c r="G306" s="43" t="s">
        <v>19</v>
      </c>
      <c r="H306" s="39"/>
      <c r="I306" s="44" t="str">
        <f t="shared" si="4"/>
        <v/>
      </c>
      <c r="J306" s="39"/>
      <c r="L306" s="45"/>
      <c r="M306" s="46">
        <v>287921.86</v>
      </c>
    </row>
    <row r="307" spans="1:13" ht="15.75" customHeight="1" x14ac:dyDescent="0.2">
      <c r="A307" s="39" t="s">
        <v>670</v>
      </c>
      <c r="B307" s="40" t="s">
        <v>671</v>
      </c>
      <c r="C307" s="39" t="s">
        <v>75</v>
      </c>
      <c r="D307" s="41" t="s">
        <v>454</v>
      </c>
      <c r="E307" s="39" t="s">
        <v>17</v>
      </c>
      <c r="F307" s="58" t="s">
        <v>47</v>
      </c>
      <c r="G307" s="43" t="s">
        <v>19</v>
      </c>
      <c r="H307" s="39"/>
      <c r="I307" s="44" t="str">
        <f t="shared" si="4"/>
        <v/>
      </c>
      <c r="J307" s="39"/>
      <c r="L307" s="45"/>
      <c r="M307" s="46">
        <v>287377.5</v>
      </c>
    </row>
    <row r="308" spans="1:13" ht="15.75" customHeight="1" x14ac:dyDescent="0.2">
      <c r="A308" s="39" t="s">
        <v>672</v>
      </c>
      <c r="B308" s="40" t="s">
        <v>673</v>
      </c>
      <c r="C308" s="39" t="s">
        <v>40</v>
      </c>
      <c r="D308" s="41" t="s">
        <v>29</v>
      </c>
      <c r="E308" s="39" t="s">
        <v>17</v>
      </c>
      <c r="F308" s="58" t="s">
        <v>47</v>
      </c>
      <c r="G308" s="43" t="s">
        <v>19</v>
      </c>
      <c r="H308" s="39"/>
      <c r="I308" s="44" t="str">
        <f t="shared" si="4"/>
        <v/>
      </c>
      <c r="J308" s="39"/>
      <c r="L308" s="45"/>
      <c r="M308" s="46">
        <v>286441.78000000003</v>
      </c>
    </row>
    <row r="309" spans="1:13" ht="15.75" customHeight="1" x14ac:dyDescent="0.2">
      <c r="A309" s="47" t="s">
        <v>674</v>
      </c>
      <c r="B309" s="48" t="s">
        <v>675</v>
      </c>
      <c r="C309" s="47" t="s">
        <v>75</v>
      </c>
      <c r="D309" s="49" t="s">
        <v>37</v>
      </c>
      <c r="E309" s="47" t="s">
        <v>17</v>
      </c>
      <c r="F309" s="57" t="s">
        <v>18</v>
      </c>
      <c r="G309" s="43" t="s">
        <v>19</v>
      </c>
      <c r="H309" s="47"/>
      <c r="I309" s="44" t="str">
        <f t="shared" si="4"/>
        <v/>
      </c>
      <c r="J309" s="47"/>
      <c r="L309" s="55"/>
      <c r="M309" s="56">
        <v>284938.46999999997</v>
      </c>
    </row>
    <row r="310" spans="1:13" ht="15.75" customHeight="1" x14ac:dyDescent="0.2">
      <c r="A310" s="47" t="s">
        <v>676</v>
      </c>
      <c r="B310" s="48" t="s">
        <v>677</v>
      </c>
      <c r="C310" s="47" t="s">
        <v>22</v>
      </c>
      <c r="D310" s="49" t="s">
        <v>37</v>
      </c>
      <c r="E310" s="47" t="s">
        <v>17</v>
      </c>
      <c r="F310" s="57" t="s">
        <v>18</v>
      </c>
      <c r="G310" s="43" t="s">
        <v>19</v>
      </c>
      <c r="H310" s="47"/>
      <c r="I310" s="44" t="str">
        <f t="shared" si="4"/>
        <v/>
      </c>
      <c r="J310" s="47"/>
      <c r="L310" s="55"/>
      <c r="M310" s="56">
        <v>283997.17</v>
      </c>
    </row>
    <row r="311" spans="1:13" ht="15.75" customHeight="1" x14ac:dyDescent="0.2">
      <c r="A311" s="39" t="s">
        <v>678</v>
      </c>
      <c r="B311" s="40" t="s">
        <v>679</v>
      </c>
      <c r="C311" s="39" t="s">
        <v>121</v>
      </c>
      <c r="D311" s="41" t="s">
        <v>37</v>
      </c>
      <c r="E311" s="39" t="s">
        <v>17</v>
      </c>
      <c r="F311" s="58" t="s">
        <v>47</v>
      </c>
      <c r="G311" s="43" t="s">
        <v>19</v>
      </c>
      <c r="H311" s="39"/>
      <c r="I311" s="44" t="str">
        <f t="shared" si="4"/>
        <v/>
      </c>
      <c r="J311" s="39"/>
      <c r="L311" s="45"/>
      <c r="M311" s="46">
        <v>282802.96999999997</v>
      </c>
    </row>
    <row r="312" spans="1:13" ht="15.75" customHeight="1" x14ac:dyDescent="0.2">
      <c r="A312" s="47" t="s">
        <v>680</v>
      </c>
      <c r="B312" s="48" t="s">
        <v>681</v>
      </c>
      <c r="C312" s="47" t="s">
        <v>22</v>
      </c>
      <c r="D312" s="49" t="s">
        <v>126</v>
      </c>
      <c r="E312" s="47" t="s">
        <v>17</v>
      </c>
      <c r="F312" s="57" t="s">
        <v>18</v>
      </c>
      <c r="G312" s="43" t="s">
        <v>19</v>
      </c>
      <c r="H312" s="47"/>
      <c r="I312" s="44" t="str">
        <f t="shared" si="4"/>
        <v/>
      </c>
      <c r="J312" s="47"/>
      <c r="L312" s="55"/>
      <c r="M312" s="56">
        <v>281790.98</v>
      </c>
    </row>
    <row r="313" spans="1:13" ht="15.75" customHeight="1" x14ac:dyDescent="0.2">
      <c r="A313" s="47" t="s">
        <v>682</v>
      </c>
      <c r="B313" s="48" t="s">
        <v>683</v>
      </c>
      <c r="C313" s="47" t="s">
        <v>138</v>
      </c>
      <c r="D313" s="49" t="s">
        <v>126</v>
      </c>
      <c r="E313" s="47" t="s">
        <v>17</v>
      </c>
      <c r="F313" s="57" t="s">
        <v>18</v>
      </c>
      <c r="G313" s="43" t="s">
        <v>19</v>
      </c>
      <c r="H313" s="47"/>
      <c r="I313" s="44" t="str">
        <f t="shared" si="4"/>
        <v/>
      </c>
      <c r="J313" s="47"/>
      <c r="L313" s="55"/>
      <c r="M313" s="56">
        <v>279862.2</v>
      </c>
    </row>
    <row r="314" spans="1:13" ht="15.75" customHeight="1" x14ac:dyDescent="0.2">
      <c r="A314" s="47" t="s">
        <v>684</v>
      </c>
      <c r="B314" s="48" t="s">
        <v>685</v>
      </c>
      <c r="C314" s="47" t="s">
        <v>121</v>
      </c>
      <c r="D314" s="49" t="s">
        <v>37</v>
      </c>
      <c r="E314" s="47" t="s">
        <v>17</v>
      </c>
      <c r="F314" s="59" t="s">
        <v>47</v>
      </c>
      <c r="G314" s="43" t="s">
        <v>19</v>
      </c>
      <c r="H314" s="47"/>
      <c r="I314" s="44" t="str">
        <f t="shared" si="4"/>
        <v/>
      </c>
      <c r="J314" s="47"/>
      <c r="L314" s="55"/>
      <c r="M314" s="56">
        <v>270636.84999999998</v>
      </c>
    </row>
    <row r="315" spans="1:13" ht="15.75" customHeight="1" x14ac:dyDescent="0.2">
      <c r="A315" s="39" t="s">
        <v>686</v>
      </c>
      <c r="B315" s="40" t="s">
        <v>687</v>
      </c>
      <c r="C315" s="39" t="s">
        <v>121</v>
      </c>
      <c r="D315" s="41" t="s">
        <v>37</v>
      </c>
      <c r="E315" s="39" t="s">
        <v>17</v>
      </c>
      <c r="F315" s="58" t="s">
        <v>47</v>
      </c>
      <c r="G315" s="43" t="s">
        <v>19</v>
      </c>
      <c r="H315" s="39"/>
      <c r="I315" s="44" t="str">
        <f t="shared" si="4"/>
        <v/>
      </c>
      <c r="J315" s="39"/>
      <c r="L315" s="45"/>
      <c r="M315" s="46">
        <v>269811.43</v>
      </c>
    </row>
    <row r="316" spans="1:13" ht="15.75" customHeight="1" x14ac:dyDescent="0.2">
      <c r="A316" s="39" t="s">
        <v>688</v>
      </c>
      <c r="B316" s="40" t="s">
        <v>689</v>
      </c>
      <c r="C316" s="39" t="s">
        <v>273</v>
      </c>
      <c r="D316" s="41" t="s">
        <v>37</v>
      </c>
      <c r="E316" s="39" t="s">
        <v>17</v>
      </c>
      <c r="F316" s="58" t="s">
        <v>47</v>
      </c>
      <c r="G316" s="43" t="s">
        <v>19</v>
      </c>
      <c r="H316" s="39"/>
      <c r="I316" s="44" t="str">
        <f t="shared" si="4"/>
        <v/>
      </c>
      <c r="J316" s="39"/>
      <c r="L316" s="45"/>
      <c r="M316" s="46">
        <v>266382.65999999997</v>
      </c>
    </row>
    <row r="317" spans="1:13" ht="15.75" customHeight="1" x14ac:dyDescent="0.2">
      <c r="A317" s="47" t="s">
        <v>690</v>
      </c>
      <c r="B317" s="48" t="s">
        <v>250</v>
      </c>
      <c r="C317" s="47" t="s">
        <v>59</v>
      </c>
      <c r="D317" s="49" t="s">
        <v>29</v>
      </c>
      <c r="E317" s="47" t="s">
        <v>17</v>
      </c>
      <c r="F317" s="57" t="s">
        <v>18</v>
      </c>
      <c r="G317" s="43" t="s">
        <v>19</v>
      </c>
      <c r="H317" s="52">
        <v>46125</v>
      </c>
      <c r="I317" s="44">
        <f t="shared" si="4"/>
        <v>46134</v>
      </c>
      <c r="J317" s="47"/>
      <c r="L317" s="55"/>
      <c r="M317" s="56">
        <v>265651.28000000003</v>
      </c>
    </row>
    <row r="318" spans="1:13" ht="15.75" customHeight="1" x14ac:dyDescent="0.2">
      <c r="A318" s="47" t="s">
        <v>691</v>
      </c>
      <c r="B318" s="48" t="s">
        <v>692</v>
      </c>
      <c r="C318" s="47" t="s">
        <v>36</v>
      </c>
      <c r="D318" s="49" t="s">
        <v>37</v>
      </c>
      <c r="E318" s="47" t="s">
        <v>17</v>
      </c>
      <c r="F318" s="57" t="s">
        <v>18</v>
      </c>
      <c r="G318" s="43" t="s">
        <v>19</v>
      </c>
      <c r="H318" s="47"/>
      <c r="I318" s="44" t="str">
        <f t="shared" si="4"/>
        <v/>
      </c>
      <c r="J318" s="47"/>
      <c r="L318" s="55"/>
      <c r="M318" s="56">
        <v>265265.65999999997</v>
      </c>
    </row>
    <row r="319" spans="1:13" ht="15.75" customHeight="1" x14ac:dyDescent="0.2">
      <c r="A319" s="47" t="s">
        <v>693</v>
      </c>
      <c r="B319" s="48" t="s">
        <v>694</v>
      </c>
      <c r="C319" s="47" t="s">
        <v>121</v>
      </c>
      <c r="D319" s="49" t="s">
        <v>37</v>
      </c>
      <c r="E319" s="47" t="s">
        <v>17</v>
      </c>
      <c r="F319" s="59" t="s">
        <v>47</v>
      </c>
      <c r="G319" s="43" t="s">
        <v>19</v>
      </c>
      <c r="H319" s="47"/>
      <c r="I319" s="44" t="str">
        <f t="shared" si="4"/>
        <v/>
      </c>
      <c r="J319" s="47"/>
      <c r="L319" s="55"/>
      <c r="M319" s="56">
        <v>264830.17</v>
      </c>
    </row>
    <row r="320" spans="1:13" ht="15.75" customHeight="1" x14ac:dyDescent="0.2">
      <c r="A320" s="39" t="s">
        <v>695</v>
      </c>
      <c r="B320" s="40" t="s">
        <v>696</v>
      </c>
      <c r="C320" s="39" t="s">
        <v>92</v>
      </c>
      <c r="D320" s="41" t="s">
        <v>126</v>
      </c>
      <c r="E320" s="39" t="s">
        <v>17</v>
      </c>
      <c r="F320" s="58" t="s">
        <v>47</v>
      </c>
      <c r="G320" s="43" t="s">
        <v>19</v>
      </c>
      <c r="H320" s="39"/>
      <c r="I320" s="44" t="str">
        <f t="shared" si="4"/>
        <v/>
      </c>
      <c r="J320" s="39"/>
      <c r="L320" s="45"/>
      <c r="M320" s="46">
        <v>260001.95</v>
      </c>
    </row>
    <row r="321" spans="1:13" ht="15.75" customHeight="1" x14ac:dyDescent="0.2">
      <c r="A321" s="39" t="s">
        <v>697</v>
      </c>
      <c r="B321" s="40" t="s">
        <v>698</v>
      </c>
      <c r="C321" s="39" t="s">
        <v>138</v>
      </c>
      <c r="D321" s="41" t="s">
        <v>126</v>
      </c>
      <c r="E321" s="39" t="s">
        <v>17</v>
      </c>
      <c r="F321" s="42" t="s">
        <v>18</v>
      </c>
      <c r="G321" s="43" t="s">
        <v>19</v>
      </c>
      <c r="H321" s="39"/>
      <c r="I321" s="44" t="str">
        <f t="shared" si="4"/>
        <v/>
      </c>
      <c r="J321" s="39"/>
      <c r="L321" s="45"/>
      <c r="M321" s="46">
        <v>256198.25</v>
      </c>
    </row>
    <row r="322" spans="1:13" ht="15.75" customHeight="1" x14ac:dyDescent="0.2">
      <c r="A322" s="39" t="s">
        <v>699</v>
      </c>
      <c r="B322" s="40" t="s">
        <v>700</v>
      </c>
      <c r="C322" s="39" t="s">
        <v>80</v>
      </c>
      <c r="D322" s="41" t="s">
        <v>29</v>
      </c>
      <c r="E322" s="39" t="s">
        <v>17</v>
      </c>
      <c r="F322" s="42" t="s">
        <v>18</v>
      </c>
      <c r="G322" s="43" t="s">
        <v>19</v>
      </c>
      <c r="H322" s="39"/>
      <c r="I322" s="44" t="str">
        <f t="shared" ref="I322:I385" si="5">IF(H322="","",H322+9)</f>
        <v/>
      </c>
      <c r="J322" s="39"/>
      <c r="L322" s="45"/>
      <c r="M322" s="46">
        <v>251795.25</v>
      </c>
    </row>
    <row r="323" spans="1:13" ht="15.75" customHeight="1" x14ac:dyDescent="0.2">
      <c r="A323" s="39" t="s">
        <v>701</v>
      </c>
      <c r="B323" s="40" t="s">
        <v>702</v>
      </c>
      <c r="C323" s="39" t="s">
        <v>36</v>
      </c>
      <c r="D323" s="41" t="s">
        <v>37</v>
      </c>
      <c r="E323" s="39" t="s">
        <v>17</v>
      </c>
      <c r="F323" s="58" t="s">
        <v>47</v>
      </c>
      <c r="G323" s="43" t="s">
        <v>19</v>
      </c>
      <c r="H323" s="39"/>
      <c r="I323" s="44" t="str">
        <f t="shared" si="5"/>
        <v/>
      </c>
      <c r="J323" s="39"/>
      <c r="L323" s="45"/>
      <c r="M323" s="46">
        <v>250215.01</v>
      </c>
    </row>
    <row r="324" spans="1:13" ht="15.75" customHeight="1" x14ac:dyDescent="0.2">
      <c r="A324" s="39" t="s">
        <v>703</v>
      </c>
      <c r="B324" s="40" t="s">
        <v>704</v>
      </c>
      <c r="C324" s="39" t="s">
        <v>273</v>
      </c>
      <c r="D324" s="41" t="s">
        <v>37</v>
      </c>
      <c r="E324" s="39" t="s">
        <v>17</v>
      </c>
      <c r="F324" s="58" t="s">
        <v>47</v>
      </c>
      <c r="G324" s="43" t="s">
        <v>19</v>
      </c>
      <c r="H324" s="39"/>
      <c r="I324" s="44" t="str">
        <f t="shared" si="5"/>
        <v/>
      </c>
      <c r="J324" s="39"/>
      <c r="L324" s="45"/>
      <c r="M324" s="46">
        <v>249576.59</v>
      </c>
    </row>
    <row r="325" spans="1:13" ht="15.75" customHeight="1" x14ac:dyDescent="0.2">
      <c r="A325" s="47" t="s">
        <v>705</v>
      </c>
      <c r="B325" s="48" t="s">
        <v>706</v>
      </c>
      <c r="C325" s="47" t="s">
        <v>62</v>
      </c>
      <c r="D325" s="49" t="s">
        <v>29</v>
      </c>
      <c r="E325" s="47" t="s">
        <v>17</v>
      </c>
      <c r="F325" s="57" t="s">
        <v>18</v>
      </c>
      <c r="G325" s="43" t="s">
        <v>19</v>
      </c>
      <c r="H325" s="47"/>
      <c r="I325" s="44" t="str">
        <f t="shared" si="5"/>
        <v/>
      </c>
      <c r="J325" s="47"/>
      <c r="L325" s="55"/>
      <c r="M325" s="56">
        <v>247457.48</v>
      </c>
    </row>
    <row r="326" spans="1:13" ht="15.75" customHeight="1" x14ac:dyDescent="0.2">
      <c r="A326" s="39" t="s">
        <v>707</v>
      </c>
      <c r="B326" s="40" t="s">
        <v>708</v>
      </c>
      <c r="C326" s="39" t="s">
        <v>106</v>
      </c>
      <c r="D326" s="41" t="s">
        <v>29</v>
      </c>
      <c r="E326" s="39" t="s">
        <v>17</v>
      </c>
      <c r="F326" s="42" t="s">
        <v>18</v>
      </c>
      <c r="G326" s="43" t="s">
        <v>19</v>
      </c>
      <c r="H326" s="39"/>
      <c r="I326" s="44" t="str">
        <f t="shared" si="5"/>
        <v/>
      </c>
      <c r="J326" s="39"/>
      <c r="L326" s="45"/>
      <c r="M326" s="46">
        <v>246950.01</v>
      </c>
    </row>
    <row r="327" spans="1:13" ht="15.75" customHeight="1" x14ac:dyDescent="0.2">
      <c r="A327" s="47" t="s">
        <v>709</v>
      </c>
      <c r="B327" s="48" t="s">
        <v>710</v>
      </c>
      <c r="C327" s="47" t="s">
        <v>130</v>
      </c>
      <c r="D327" s="49" t="s">
        <v>126</v>
      </c>
      <c r="E327" s="47" t="s">
        <v>17</v>
      </c>
      <c r="F327" s="59" t="s">
        <v>47</v>
      </c>
      <c r="G327" s="43" t="s">
        <v>19</v>
      </c>
      <c r="H327" s="47"/>
      <c r="I327" s="44" t="str">
        <f t="shared" si="5"/>
        <v/>
      </c>
      <c r="J327" s="47"/>
      <c r="L327" s="55"/>
      <c r="M327" s="56">
        <v>246774</v>
      </c>
    </row>
    <row r="328" spans="1:13" ht="15.75" customHeight="1" x14ac:dyDescent="0.2">
      <c r="A328" s="39" t="s">
        <v>711</v>
      </c>
      <c r="B328" s="40" t="s">
        <v>712</v>
      </c>
      <c r="C328" s="39" t="s">
        <v>138</v>
      </c>
      <c r="D328" s="41" t="s">
        <v>126</v>
      </c>
      <c r="E328" s="39" t="s">
        <v>17</v>
      </c>
      <c r="F328" s="58" t="s">
        <v>47</v>
      </c>
      <c r="G328" s="43" t="s">
        <v>19</v>
      </c>
      <c r="H328" s="39"/>
      <c r="I328" s="44" t="str">
        <f t="shared" si="5"/>
        <v/>
      </c>
      <c r="J328" s="39"/>
      <c r="L328" s="45"/>
      <c r="M328" s="46">
        <v>245799.47</v>
      </c>
    </row>
    <row r="329" spans="1:13" ht="15.75" customHeight="1" x14ac:dyDescent="0.2">
      <c r="A329" s="47" t="s">
        <v>713</v>
      </c>
      <c r="B329" s="48" t="s">
        <v>714</v>
      </c>
      <c r="C329" s="47" t="s">
        <v>32</v>
      </c>
      <c r="D329" s="49" t="s">
        <v>29</v>
      </c>
      <c r="E329" s="47" t="s">
        <v>17</v>
      </c>
      <c r="F329" s="59" t="s">
        <v>47</v>
      </c>
      <c r="G329" s="43" t="s">
        <v>19</v>
      </c>
      <c r="H329" s="47"/>
      <c r="I329" s="44" t="str">
        <f t="shared" si="5"/>
        <v/>
      </c>
      <c r="J329" s="47"/>
      <c r="L329" s="55"/>
      <c r="M329" s="56">
        <v>240203.98</v>
      </c>
    </row>
    <row r="330" spans="1:13" ht="15.75" customHeight="1" x14ac:dyDescent="0.2">
      <c r="A330" s="47" t="s">
        <v>715</v>
      </c>
      <c r="B330" s="48" t="s">
        <v>716</v>
      </c>
      <c r="C330" s="47" t="s">
        <v>138</v>
      </c>
      <c r="D330" s="49" t="s">
        <v>126</v>
      </c>
      <c r="E330" s="47" t="s">
        <v>17</v>
      </c>
      <c r="F330" s="59" t="s">
        <v>47</v>
      </c>
      <c r="G330" s="43" t="s">
        <v>19</v>
      </c>
      <c r="H330" s="47"/>
      <c r="I330" s="44" t="str">
        <f t="shared" si="5"/>
        <v/>
      </c>
      <c r="J330" s="47"/>
      <c r="L330" s="55"/>
      <c r="M330" s="56">
        <v>240097.54</v>
      </c>
    </row>
    <row r="331" spans="1:13" ht="15.75" customHeight="1" x14ac:dyDescent="0.2">
      <c r="A331" s="39" t="s">
        <v>717</v>
      </c>
      <c r="B331" s="40" t="s">
        <v>718</v>
      </c>
      <c r="C331" s="39" t="s">
        <v>62</v>
      </c>
      <c r="D331" s="41" t="s">
        <v>29</v>
      </c>
      <c r="E331" s="39" t="s">
        <v>17</v>
      </c>
      <c r="F331" s="42" t="s">
        <v>18</v>
      </c>
      <c r="G331" s="43" t="s">
        <v>19</v>
      </c>
      <c r="H331" s="39"/>
      <c r="I331" s="44" t="str">
        <f t="shared" si="5"/>
        <v/>
      </c>
      <c r="J331" s="39"/>
      <c r="L331" s="45"/>
      <c r="M331" s="46">
        <v>239426.13</v>
      </c>
    </row>
    <row r="332" spans="1:13" ht="15.75" customHeight="1" x14ac:dyDescent="0.2">
      <c r="A332" s="39" t="s">
        <v>719</v>
      </c>
      <c r="B332" s="40" t="s">
        <v>720</v>
      </c>
      <c r="C332" s="39" t="s">
        <v>28</v>
      </c>
      <c r="D332" s="41" t="s">
        <v>37</v>
      </c>
      <c r="E332" s="39" t="s">
        <v>17</v>
      </c>
      <c r="F332" s="58" t="s">
        <v>47</v>
      </c>
      <c r="G332" s="43" t="s">
        <v>19</v>
      </c>
      <c r="H332" s="39"/>
      <c r="I332" s="44" t="str">
        <f t="shared" si="5"/>
        <v/>
      </c>
      <c r="J332" s="39"/>
      <c r="L332" s="45"/>
      <c r="M332" s="46">
        <v>239185.71</v>
      </c>
    </row>
    <row r="333" spans="1:13" ht="15.75" customHeight="1" x14ac:dyDescent="0.2">
      <c r="A333" s="39" t="s">
        <v>721</v>
      </c>
      <c r="B333" s="40" t="s">
        <v>722</v>
      </c>
      <c r="C333" s="39" t="s">
        <v>121</v>
      </c>
      <c r="D333" s="41" t="s">
        <v>37</v>
      </c>
      <c r="E333" s="39" t="s">
        <v>17</v>
      </c>
      <c r="F333" s="58" t="s">
        <v>47</v>
      </c>
      <c r="G333" s="43" t="s">
        <v>19</v>
      </c>
      <c r="H333" s="39"/>
      <c r="I333" s="44" t="str">
        <f t="shared" si="5"/>
        <v/>
      </c>
      <c r="J333" s="39"/>
      <c r="L333" s="45"/>
      <c r="M333" s="46">
        <v>236111.77</v>
      </c>
    </row>
    <row r="334" spans="1:13" ht="15.75" customHeight="1" x14ac:dyDescent="0.2">
      <c r="A334" s="39" t="s">
        <v>723</v>
      </c>
      <c r="B334" s="40" t="s">
        <v>724</v>
      </c>
      <c r="C334" s="39" t="s">
        <v>121</v>
      </c>
      <c r="D334" s="41" t="s">
        <v>37</v>
      </c>
      <c r="E334" s="39" t="s">
        <v>17</v>
      </c>
      <c r="F334" s="58" t="s">
        <v>47</v>
      </c>
      <c r="G334" s="43" t="s">
        <v>19</v>
      </c>
      <c r="H334" s="39"/>
      <c r="I334" s="44" t="str">
        <f t="shared" si="5"/>
        <v/>
      </c>
      <c r="J334" s="39"/>
      <c r="L334" s="45"/>
      <c r="M334" s="46">
        <v>229612.15</v>
      </c>
    </row>
    <row r="335" spans="1:13" ht="15.75" customHeight="1" x14ac:dyDescent="0.2">
      <c r="A335" s="47" t="s">
        <v>725</v>
      </c>
      <c r="B335" s="48" t="s">
        <v>726</v>
      </c>
      <c r="C335" s="47" t="s">
        <v>62</v>
      </c>
      <c r="D335" s="49" t="s">
        <v>37</v>
      </c>
      <c r="E335" s="47" t="s">
        <v>17</v>
      </c>
      <c r="F335" s="59" t="s">
        <v>47</v>
      </c>
      <c r="G335" s="43" t="s">
        <v>19</v>
      </c>
      <c r="H335" s="47"/>
      <c r="I335" s="44" t="str">
        <f t="shared" si="5"/>
        <v/>
      </c>
      <c r="J335" s="47"/>
      <c r="L335" s="55"/>
      <c r="M335" s="56">
        <v>229512.35</v>
      </c>
    </row>
    <row r="336" spans="1:13" ht="15.75" customHeight="1" x14ac:dyDescent="0.2">
      <c r="A336" s="47" t="s">
        <v>727</v>
      </c>
      <c r="B336" s="48" t="s">
        <v>728</v>
      </c>
      <c r="C336" s="47" t="s">
        <v>280</v>
      </c>
      <c r="D336" s="49" t="s">
        <v>126</v>
      </c>
      <c r="E336" s="47" t="s">
        <v>17</v>
      </c>
      <c r="F336" s="57" t="s">
        <v>18</v>
      </c>
      <c r="G336" s="43" t="s">
        <v>19</v>
      </c>
      <c r="H336" s="47"/>
      <c r="I336" s="44" t="str">
        <f t="shared" si="5"/>
        <v/>
      </c>
      <c r="J336" s="47"/>
      <c r="L336" s="55"/>
      <c r="M336" s="56">
        <v>228455.55</v>
      </c>
    </row>
    <row r="337" spans="1:13" ht="15.75" customHeight="1" x14ac:dyDescent="0.2">
      <c r="A337" s="39" t="s">
        <v>729</v>
      </c>
      <c r="B337" s="40" t="s">
        <v>730</v>
      </c>
      <c r="C337" s="39" t="s">
        <v>280</v>
      </c>
      <c r="D337" s="41" t="s">
        <v>126</v>
      </c>
      <c r="E337" s="39" t="s">
        <v>17</v>
      </c>
      <c r="F337" s="58" t="s">
        <v>47</v>
      </c>
      <c r="G337" s="43" t="s">
        <v>19</v>
      </c>
      <c r="H337" s="39"/>
      <c r="I337" s="44" t="str">
        <f t="shared" si="5"/>
        <v/>
      </c>
      <c r="J337" s="39"/>
      <c r="L337" s="45"/>
      <c r="M337" s="46">
        <v>227285.23</v>
      </c>
    </row>
    <row r="338" spans="1:13" ht="15.75" customHeight="1" x14ac:dyDescent="0.2">
      <c r="A338" s="47" t="s">
        <v>731</v>
      </c>
      <c r="B338" s="48" t="s">
        <v>732</v>
      </c>
      <c r="C338" s="47" t="s">
        <v>138</v>
      </c>
      <c r="D338" s="49" t="s">
        <v>126</v>
      </c>
      <c r="E338" s="47" t="s">
        <v>17</v>
      </c>
      <c r="F338" s="59" t="s">
        <v>47</v>
      </c>
      <c r="G338" s="43" t="s">
        <v>19</v>
      </c>
      <c r="H338" s="47"/>
      <c r="I338" s="44" t="str">
        <f t="shared" si="5"/>
        <v/>
      </c>
      <c r="J338" s="47"/>
      <c r="L338" s="55"/>
      <c r="M338" s="56">
        <v>225204.21</v>
      </c>
    </row>
    <row r="339" spans="1:13" ht="15.75" customHeight="1" x14ac:dyDescent="0.2">
      <c r="A339" s="39" t="s">
        <v>733</v>
      </c>
      <c r="B339" s="40" t="s">
        <v>734</v>
      </c>
      <c r="C339" s="39" t="s">
        <v>138</v>
      </c>
      <c r="D339" s="41" t="s">
        <v>126</v>
      </c>
      <c r="E339" s="39" t="s">
        <v>17</v>
      </c>
      <c r="F339" s="58" t="s">
        <v>47</v>
      </c>
      <c r="G339" s="43" t="s">
        <v>19</v>
      </c>
      <c r="H339" s="39"/>
      <c r="I339" s="44" t="str">
        <f t="shared" si="5"/>
        <v/>
      </c>
      <c r="J339" s="39"/>
      <c r="L339" s="45"/>
      <c r="M339" s="46">
        <v>222854.86</v>
      </c>
    </row>
    <row r="340" spans="1:13" ht="15.75" customHeight="1" x14ac:dyDescent="0.2">
      <c r="A340" s="47" t="s">
        <v>735</v>
      </c>
      <c r="B340" s="48" t="s">
        <v>216</v>
      </c>
      <c r="C340" s="47" t="s">
        <v>50</v>
      </c>
      <c r="D340" s="49" t="s">
        <v>51</v>
      </c>
      <c r="E340" s="47" t="s">
        <v>17</v>
      </c>
      <c r="F340" s="57" t="s">
        <v>18</v>
      </c>
      <c r="G340" s="43" t="s">
        <v>19</v>
      </c>
      <c r="H340" s="47"/>
      <c r="I340" s="44" t="str">
        <f t="shared" si="5"/>
        <v/>
      </c>
      <c r="J340" s="47"/>
      <c r="L340" s="55"/>
      <c r="M340" s="56">
        <v>220476.9</v>
      </c>
    </row>
    <row r="341" spans="1:13" ht="15.75" customHeight="1" x14ac:dyDescent="0.2">
      <c r="A341" s="47" t="s">
        <v>736</v>
      </c>
      <c r="B341" s="48" t="s">
        <v>737</v>
      </c>
      <c r="C341" s="47" t="s">
        <v>62</v>
      </c>
      <c r="D341" s="49" t="s">
        <v>29</v>
      </c>
      <c r="E341" s="47" t="s">
        <v>17</v>
      </c>
      <c r="F341" s="57" t="s">
        <v>18</v>
      </c>
      <c r="G341" s="43" t="s">
        <v>19</v>
      </c>
      <c r="H341" s="47"/>
      <c r="I341" s="44" t="str">
        <f t="shared" si="5"/>
        <v/>
      </c>
      <c r="J341" s="47"/>
      <c r="L341" s="55"/>
      <c r="M341" s="56">
        <v>216665.63</v>
      </c>
    </row>
    <row r="342" spans="1:13" ht="15.75" customHeight="1" x14ac:dyDescent="0.2">
      <c r="A342" s="47" t="s">
        <v>738</v>
      </c>
      <c r="B342" s="48" t="s">
        <v>739</v>
      </c>
      <c r="C342" s="47" t="s">
        <v>138</v>
      </c>
      <c r="D342" s="49" t="s">
        <v>126</v>
      </c>
      <c r="E342" s="47" t="s">
        <v>109</v>
      </c>
      <c r="F342" s="57" t="s">
        <v>18</v>
      </c>
      <c r="G342" s="43" t="s">
        <v>19</v>
      </c>
      <c r="H342" s="47"/>
      <c r="I342" s="44" t="str">
        <f t="shared" si="5"/>
        <v/>
      </c>
      <c r="J342" s="47"/>
      <c r="L342" s="55"/>
      <c r="M342" s="56">
        <v>215120.89</v>
      </c>
    </row>
    <row r="343" spans="1:13" ht="15.75" customHeight="1" x14ac:dyDescent="0.2">
      <c r="A343" s="47" t="s">
        <v>740</v>
      </c>
      <c r="B343" s="48" t="s">
        <v>741</v>
      </c>
      <c r="C343" s="47" t="s">
        <v>54</v>
      </c>
      <c r="D343" s="49" t="s">
        <v>37</v>
      </c>
      <c r="E343" s="47" t="s">
        <v>17</v>
      </c>
      <c r="F343" s="57" t="s">
        <v>18</v>
      </c>
      <c r="G343" s="43" t="s">
        <v>19</v>
      </c>
      <c r="H343" s="47"/>
      <c r="I343" s="44" t="str">
        <f t="shared" si="5"/>
        <v/>
      </c>
      <c r="J343" s="47"/>
      <c r="L343" s="55"/>
      <c r="M343" s="56">
        <v>213115.6</v>
      </c>
    </row>
    <row r="344" spans="1:13" ht="15.75" customHeight="1" x14ac:dyDescent="0.2">
      <c r="A344" s="47" t="s">
        <v>742</v>
      </c>
      <c r="B344" s="48" t="s">
        <v>743</v>
      </c>
      <c r="C344" s="47" t="s">
        <v>273</v>
      </c>
      <c r="D344" s="49" t="s">
        <v>37</v>
      </c>
      <c r="E344" s="47" t="s">
        <v>17</v>
      </c>
      <c r="F344" s="59" t="s">
        <v>47</v>
      </c>
      <c r="G344" s="43" t="s">
        <v>19</v>
      </c>
      <c r="H344" s="47"/>
      <c r="I344" s="44" t="str">
        <f t="shared" si="5"/>
        <v/>
      </c>
      <c r="J344" s="47"/>
      <c r="L344" s="55"/>
      <c r="M344" s="56">
        <v>211849.02</v>
      </c>
    </row>
    <row r="345" spans="1:13" ht="15.75" customHeight="1" x14ac:dyDescent="0.2">
      <c r="A345" s="47" t="s">
        <v>744</v>
      </c>
      <c r="B345" s="48" t="s">
        <v>745</v>
      </c>
      <c r="C345" s="47" t="s">
        <v>92</v>
      </c>
      <c r="D345" s="49" t="s">
        <v>126</v>
      </c>
      <c r="E345" s="47" t="s">
        <v>17</v>
      </c>
      <c r="F345" s="59" t="s">
        <v>47</v>
      </c>
      <c r="G345" s="43" t="s">
        <v>19</v>
      </c>
      <c r="H345" s="47"/>
      <c r="I345" s="44" t="str">
        <f t="shared" si="5"/>
        <v/>
      </c>
      <c r="J345" s="47"/>
      <c r="L345" s="55"/>
      <c r="M345" s="56">
        <v>206954.9</v>
      </c>
    </row>
    <row r="346" spans="1:13" ht="15.75" customHeight="1" x14ac:dyDescent="0.2">
      <c r="A346" s="39" t="s">
        <v>746</v>
      </c>
      <c r="B346" s="40" t="s">
        <v>747</v>
      </c>
      <c r="C346" s="39" t="s">
        <v>75</v>
      </c>
      <c r="D346" s="41" t="s">
        <v>454</v>
      </c>
      <c r="E346" s="39" t="s">
        <v>17</v>
      </c>
      <c r="F346" s="58" t="s">
        <v>47</v>
      </c>
      <c r="G346" s="43" t="s">
        <v>19</v>
      </c>
      <c r="H346" s="39"/>
      <c r="I346" s="44" t="str">
        <f t="shared" si="5"/>
        <v/>
      </c>
      <c r="J346" s="39"/>
      <c r="L346" s="45"/>
      <c r="M346" s="46">
        <v>206805</v>
      </c>
    </row>
    <row r="347" spans="1:13" ht="15.75" customHeight="1" x14ac:dyDescent="0.2">
      <c r="A347" s="39" t="s">
        <v>748</v>
      </c>
      <c r="B347" s="40" t="s">
        <v>749</v>
      </c>
      <c r="C347" s="39" t="s">
        <v>36</v>
      </c>
      <c r="D347" s="41" t="s">
        <v>37</v>
      </c>
      <c r="E347" s="39" t="s">
        <v>17</v>
      </c>
      <c r="F347" s="42" t="s">
        <v>18</v>
      </c>
      <c r="G347" s="43" t="s">
        <v>19</v>
      </c>
      <c r="H347" s="39"/>
      <c r="I347" s="44" t="str">
        <f t="shared" si="5"/>
        <v/>
      </c>
      <c r="J347" s="39"/>
      <c r="L347" s="45"/>
      <c r="M347" s="46">
        <v>204443.03</v>
      </c>
    </row>
    <row r="348" spans="1:13" ht="15.75" customHeight="1" x14ac:dyDescent="0.2">
      <c r="A348" s="39" t="s">
        <v>750</v>
      </c>
      <c r="B348" s="40" t="s">
        <v>751</v>
      </c>
      <c r="C348" s="39" t="s">
        <v>92</v>
      </c>
      <c r="D348" s="41" t="s">
        <v>126</v>
      </c>
      <c r="E348" s="39" t="s">
        <v>17</v>
      </c>
      <c r="F348" s="58" t="s">
        <v>47</v>
      </c>
      <c r="G348" s="43" t="s">
        <v>19</v>
      </c>
      <c r="H348" s="39"/>
      <c r="I348" s="44" t="str">
        <f t="shared" si="5"/>
        <v/>
      </c>
      <c r="J348" s="39"/>
      <c r="L348" s="45"/>
      <c r="M348" s="46">
        <v>204375.4</v>
      </c>
    </row>
    <row r="349" spans="1:13" ht="15.75" customHeight="1" x14ac:dyDescent="0.2">
      <c r="A349" s="39" t="s">
        <v>752</v>
      </c>
      <c r="B349" s="40" t="s">
        <v>753</v>
      </c>
      <c r="C349" s="39" t="s">
        <v>40</v>
      </c>
      <c r="D349" s="41" t="s">
        <v>29</v>
      </c>
      <c r="E349" s="39" t="s">
        <v>17</v>
      </c>
      <c r="F349" s="58" t="s">
        <v>47</v>
      </c>
      <c r="G349" s="43" t="s">
        <v>19</v>
      </c>
      <c r="H349" s="39"/>
      <c r="I349" s="44" t="str">
        <f t="shared" si="5"/>
        <v/>
      </c>
      <c r="J349" s="39"/>
      <c r="L349" s="45"/>
      <c r="M349" s="46">
        <v>203493.65</v>
      </c>
    </row>
    <row r="350" spans="1:13" ht="15.75" customHeight="1" x14ac:dyDescent="0.2">
      <c r="A350" s="47" t="s">
        <v>754</v>
      </c>
      <c r="B350" s="48" t="s">
        <v>755</v>
      </c>
      <c r="C350" s="47" t="s">
        <v>242</v>
      </c>
      <c r="D350" s="49" t="s">
        <v>37</v>
      </c>
      <c r="E350" s="47" t="s">
        <v>17</v>
      </c>
      <c r="F350" s="59" t="s">
        <v>47</v>
      </c>
      <c r="G350" s="43" t="s">
        <v>19</v>
      </c>
      <c r="H350" s="47"/>
      <c r="I350" s="44" t="str">
        <f t="shared" si="5"/>
        <v/>
      </c>
      <c r="J350" s="47"/>
      <c r="L350" s="55"/>
      <c r="M350" s="56">
        <v>202728.2</v>
      </c>
    </row>
    <row r="351" spans="1:13" ht="15.75" customHeight="1" x14ac:dyDescent="0.2">
      <c r="A351" s="39" t="s">
        <v>756</v>
      </c>
      <c r="B351" s="40" t="s">
        <v>757</v>
      </c>
      <c r="C351" s="39" t="s">
        <v>15</v>
      </c>
      <c r="D351" s="41" t="s">
        <v>37</v>
      </c>
      <c r="E351" s="39" t="s">
        <v>17</v>
      </c>
      <c r="F351" s="42" t="s">
        <v>18</v>
      </c>
      <c r="G351" s="43" t="s">
        <v>19</v>
      </c>
      <c r="H351" s="39"/>
      <c r="I351" s="44" t="str">
        <f t="shared" si="5"/>
        <v/>
      </c>
      <c r="J351" s="39"/>
      <c r="L351" s="45"/>
      <c r="M351" s="46">
        <v>202540.18</v>
      </c>
    </row>
    <row r="352" spans="1:13" ht="15.75" customHeight="1" x14ac:dyDescent="0.2">
      <c r="A352" s="47" t="s">
        <v>758</v>
      </c>
      <c r="B352" s="48" t="s">
        <v>759</v>
      </c>
      <c r="C352" s="47" t="s">
        <v>273</v>
      </c>
      <c r="D352" s="49" t="s">
        <v>37</v>
      </c>
      <c r="E352" s="47" t="s">
        <v>17</v>
      </c>
      <c r="F352" s="59" t="s">
        <v>47</v>
      </c>
      <c r="G352" s="43" t="s">
        <v>19</v>
      </c>
      <c r="H352" s="47"/>
      <c r="I352" s="44" t="str">
        <f t="shared" si="5"/>
        <v/>
      </c>
      <c r="J352" s="47"/>
      <c r="L352" s="55"/>
      <c r="M352" s="56">
        <v>199299.95</v>
      </c>
    </row>
    <row r="353" spans="1:13" ht="15.75" customHeight="1" x14ac:dyDescent="0.2">
      <c r="A353" s="39" t="s">
        <v>760</v>
      </c>
      <c r="B353" s="40" t="s">
        <v>761</v>
      </c>
      <c r="C353" s="39" t="s">
        <v>32</v>
      </c>
      <c r="D353" s="41" t="s">
        <v>37</v>
      </c>
      <c r="E353" s="39" t="s">
        <v>17</v>
      </c>
      <c r="F353" s="58" t="s">
        <v>47</v>
      </c>
      <c r="G353" s="43" t="s">
        <v>19</v>
      </c>
      <c r="H353" s="39"/>
      <c r="I353" s="44" t="str">
        <f t="shared" si="5"/>
        <v/>
      </c>
      <c r="J353" s="39"/>
      <c r="L353" s="45"/>
      <c r="M353" s="46">
        <v>198688.49</v>
      </c>
    </row>
    <row r="354" spans="1:13" ht="15.75" customHeight="1" x14ac:dyDescent="0.2">
      <c r="A354" s="47" t="s">
        <v>762</v>
      </c>
      <c r="B354" s="48" t="s">
        <v>763</v>
      </c>
      <c r="C354" s="47" t="s">
        <v>59</v>
      </c>
      <c r="D354" s="49" t="s">
        <v>29</v>
      </c>
      <c r="E354" s="47" t="s">
        <v>17</v>
      </c>
      <c r="F354" s="59" t="s">
        <v>47</v>
      </c>
      <c r="G354" s="43" t="s">
        <v>19</v>
      </c>
      <c r="H354" s="52">
        <v>46125</v>
      </c>
      <c r="I354" s="44">
        <f t="shared" si="5"/>
        <v>46134</v>
      </c>
      <c r="J354" s="47"/>
      <c r="L354" s="55"/>
      <c r="M354" s="56">
        <v>191128.67</v>
      </c>
    </row>
    <row r="355" spans="1:13" ht="15.75" customHeight="1" x14ac:dyDescent="0.2">
      <c r="A355" s="39" t="s">
        <v>764</v>
      </c>
      <c r="B355" s="40" t="s">
        <v>765</v>
      </c>
      <c r="C355" s="39" t="s">
        <v>15</v>
      </c>
      <c r="D355" s="41" t="s">
        <v>37</v>
      </c>
      <c r="E355" s="39" t="s">
        <v>17</v>
      </c>
      <c r="F355" s="42" t="s">
        <v>18</v>
      </c>
      <c r="G355" s="43" t="s">
        <v>19</v>
      </c>
      <c r="H355" s="39"/>
      <c r="I355" s="44" t="str">
        <f t="shared" si="5"/>
        <v/>
      </c>
      <c r="J355" s="39"/>
      <c r="L355" s="45"/>
      <c r="M355" s="46">
        <v>190879.26</v>
      </c>
    </row>
    <row r="356" spans="1:13" ht="15.75" customHeight="1" x14ac:dyDescent="0.2">
      <c r="A356" s="47" t="s">
        <v>766</v>
      </c>
      <c r="B356" s="48" t="s">
        <v>767</v>
      </c>
      <c r="C356" s="47" t="s">
        <v>15</v>
      </c>
      <c r="D356" s="49" t="s">
        <v>37</v>
      </c>
      <c r="E356" s="47" t="s">
        <v>17</v>
      </c>
      <c r="F356" s="59" t="s">
        <v>47</v>
      </c>
      <c r="G356" s="43" t="s">
        <v>19</v>
      </c>
      <c r="H356" s="47"/>
      <c r="I356" s="44" t="str">
        <f t="shared" si="5"/>
        <v/>
      </c>
      <c r="J356" s="47"/>
      <c r="L356" s="55"/>
      <c r="M356" s="56">
        <v>190407.97</v>
      </c>
    </row>
    <row r="357" spans="1:13" ht="15.75" customHeight="1" x14ac:dyDescent="0.2">
      <c r="A357" s="47" t="s">
        <v>768</v>
      </c>
      <c r="B357" s="48" t="s">
        <v>769</v>
      </c>
      <c r="C357" s="47" t="s">
        <v>50</v>
      </c>
      <c r="D357" s="49" t="s">
        <v>37</v>
      </c>
      <c r="E357" s="47" t="s">
        <v>17</v>
      </c>
      <c r="F357" s="57" t="s">
        <v>18</v>
      </c>
      <c r="G357" s="43" t="s">
        <v>19</v>
      </c>
      <c r="H357" s="47"/>
      <c r="I357" s="44" t="str">
        <f t="shared" si="5"/>
        <v/>
      </c>
      <c r="J357" s="47"/>
      <c r="L357" s="55"/>
      <c r="M357" s="56">
        <v>188874.79</v>
      </c>
    </row>
    <row r="358" spans="1:13" ht="15.75" customHeight="1" x14ac:dyDescent="0.2">
      <c r="A358" s="47" t="s">
        <v>770</v>
      </c>
      <c r="B358" s="48" t="s">
        <v>771</v>
      </c>
      <c r="C358" s="47" t="s">
        <v>106</v>
      </c>
      <c r="D358" s="49" t="s">
        <v>29</v>
      </c>
      <c r="E358" s="47" t="s">
        <v>17</v>
      </c>
      <c r="F358" s="57" t="s">
        <v>18</v>
      </c>
      <c r="G358" s="43" t="s">
        <v>19</v>
      </c>
      <c r="H358" s="47"/>
      <c r="I358" s="44" t="str">
        <f t="shared" si="5"/>
        <v/>
      </c>
      <c r="J358" s="47"/>
      <c r="L358" s="55"/>
      <c r="M358" s="56">
        <v>188719.56</v>
      </c>
    </row>
    <row r="359" spans="1:13" ht="15.75" customHeight="1" x14ac:dyDescent="0.2">
      <c r="A359" s="47" t="s">
        <v>772</v>
      </c>
      <c r="B359" s="48" t="s">
        <v>773</v>
      </c>
      <c r="C359" s="47" t="s">
        <v>121</v>
      </c>
      <c r="D359" s="49" t="s">
        <v>37</v>
      </c>
      <c r="E359" s="47" t="s">
        <v>17</v>
      </c>
      <c r="F359" s="59" t="s">
        <v>47</v>
      </c>
      <c r="G359" s="43" t="s">
        <v>19</v>
      </c>
      <c r="H359" s="47"/>
      <c r="I359" s="44" t="str">
        <f t="shared" si="5"/>
        <v/>
      </c>
      <c r="J359" s="47"/>
      <c r="L359" s="55"/>
      <c r="M359" s="56">
        <v>187185.43</v>
      </c>
    </row>
    <row r="360" spans="1:13" ht="15.75" customHeight="1" x14ac:dyDescent="0.2">
      <c r="A360" s="47" t="s">
        <v>774</v>
      </c>
      <c r="B360" s="48" t="s">
        <v>775</v>
      </c>
      <c r="C360" s="47" t="s">
        <v>106</v>
      </c>
      <c r="D360" s="49" t="s">
        <v>37</v>
      </c>
      <c r="E360" s="47" t="s">
        <v>17</v>
      </c>
      <c r="F360" s="59" t="s">
        <v>47</v>
      </c>
      <c r="G360" s="43" t="s">
        <v>19</v>
      </c>
      <c r="H360" s="47"/>
      <c r="I360" s="44" t="str">
        <f t="shared" si="5"/>
        <v/>
      </c>
      <c r="J360" s="47"/>
      <c r="L360" s="55"/>
      <c r="M360" s="56">
        <v>184100.68</v>
      </c>
    </row>
    <row r="361" spans="1:13" ht="15.75" customHeight="1" x14ac:dyDescent="0.2">
      <c r="A361" s="47" t="s">
        <v>776</v>
      </c>
      <c r="B361" s="48" t="s">
        <v>661</v>
      </c>
      <c r="C361" s="47" t="s">
        <v>138</v>
      </c>
      <c r="D361" s="49" t="s">
        <v>37</v>
      </c>
      <c r="E361" s="47" t="s">
        <v>17</v>
      </c>
      <c r="F361" s="57" t="s">
        <v>18</v>
      </c>
      <c r="G361" s="43" t="s">
        <v>19</v>
      </c>
      <c r="H361" s="47"/>
      <c r="I361" s="44" t="str">
        <f t="shared" si="5"/>
        <v/>
      </c>
      <c r="J361" s="47"/>
      <c r="L361" s="55"/>
      <c r="M361" s="56">
        <v>183841.31</v>
      </c>
    </row>
    <row r="362" spans="1:13" ht="15.75" customHeight="1" x14ac:dyDescent="0.2">
      <c r="A362" s="47" t="s">
        <v>777</v>
      </c>
      <c r="B362" s="48" t="s">
        <v>778</v>
      </c>
      <c r="C362" s="47" t="s">
        <v>242</v>
      </c>
      <c r="D362" s="49" t="s">
        <v>37</v>
      </c>
      <c r="E362" s="47" t="s">
        <v>17</v>
      </c>
      <c r="F362" s="59" t="s">
        <v>47</v>
      </c>
      <c r="G362" s="43" t="s">
        <v>19</v>
      </c>
      <c r="H362" s="47"/>
      <c r="I362" s="44" t="str">
        <f t="shared" si="5"/>
        <v/>
      </c>
      <c r="J362" s="47"/>
      <c r="L362" s="55"/>
      <c r="M362" s="56">
        <v>182396.81</v>
      </c>
    </row>
    <row r="363" spans="1:13" ht="15.75" customHeight="1" x14ac:dyDescent="0.2">
      <c r="A363" s="47" t="s">
        <v>779</v>
      </c>
      <c r="B363" s="48" t="s">
        <v>780</v>
      </c>
      <c r="C363" s="47" t="s">
        <v>59</v>
      </c>
      <c r="D363" s="49" t="s">
        <v>781</v>
      </c>
      <c r="E363" s="47" t="s">
        <v>17</v>
      </c>
      <c r="F363" s="59" t="s">
        <v>47</v>
      </c>
      <c r="G363" s="43" t="s">
        <v>19</v>
      </c>
      <c r="H363" s="52">
        <v>46125</v>
      </c>
      <c r="I363" s="44">
        <f t="shared" si="5"/>
        <v>46134</v>
      </c>
      <c r="J363" s="47"/>
      <c r="L363" s="55"/>
      <c r="M363" s="56">
        <v>181863.73</v>
      </c>
    </row>
    <row r="364" spans="1:13" ht="15.75" customHeight="1" x14ac:dyDescent="0.2">
      <c r="A364" s="47" t="s">
        <v>782</v>
      </c>
      <c r="B364" s="48" t="s">
        <v>783</v>
      </c>
      <c r="C364" s="47" t="s">
        <v>106</v>
      </c>
      <c r="D364" s="49" t="s">
        <v>37</v>
      </c>
      <c r="E364" s="47" t="s">
        <v>17</v>
      </c>
      <c r="F364" s="59" t="s">
        <v>47</v>
      </c>
      <c r="G364" s="43" t="s">
        <v>19</v>
      </c>
      <c r="H364" s="47"/>
      <c r="I364" s="44" t="str">
        <f t="shared" si="5"/>
        <v/>
      </c>
      <c r="J364" s="47"/>
      <c r="L364" s="55"/>
      <c r="M364" s="56">
        <v>181761.63</v>
      </c>
    </row>
    <row r="365" spans="1:13" ht="15.75" customHeight="1" x14ac:dyDescent="0.2">
      <c r="A365" s="47" t="s">
        <v>784</v>
      </c>
      <c r="B365" s="48" t="s">
        <v>785</v>
      </c>
      <c r="C365" s="47" t="s">
        <v>15</v>
      </c>
      <c r="D365" s="49" t="s">
        <v>37</v>
      </c>
      <c r="E365" s="47" t="s">
        <v>17</v>
      </c>
      <c r="F365" s="57" t="s">
        <v>18</v>
      </c>
      <c r="G365" s="43" t="s">
        <v>19</v>
      </c>
      <c r="H365" s="47"/>
      <c r="I365" s="44" t="str">
        <f t="shared" si="5"/>
        <v/>
      </c>
      <c r="J365" s="47"/>
      <c r="L365" s="55"/>
      <c r="M365" s="56">
        <v>181439.42</v>
      </c>
    </row>
    <row r="366" spans="1:13" ht="15.75" customHeight="1" x14ac:dyDescent="0.2">
      <c r="A366" s="47" t="s">
        <v>786</v>
      </c>
      <c r="B366" s="48" t="s">
        <v>787</v>
      </c>
      <c r="C366" s="47" t="s">
        <v>280</v>
      </c>
      <c r="D366" s="49" t="s">
        <v>126</v>
      </c>
      <c r="E366" s="47" t="s">
        <v>17</v>
      </c>
      <c r="F366" s="57" t="s">
        <v>18</v>
      </c>
      <c r="G366" s="43" t="s">
        <v>19</v>
      </c>
      <c r="H366" s="47"/>
      <c r="I366" s="44" t="str">
        <f t="shared" si="5"/>
        <v/>
      </c>
      <c r="J366" s="47"/>
      <c r="L366" s="55"/>
      <c r="M366" s="56">
        <v>181242.16</v>
      </c>
    </row>
    <row r="367" spans="1:13" ht="15.75" customHeight="1" x14ac:dyDescent="0.2">
      <c r="A367" s="39" t="s">
        <v>788</v>
      </c>
      <c r="B367" s="40" t="s">
        <v>789</v>
      </c>
      <c r="C367" s="39" t="s">
        <v>242</v>
      </c>
      <c r="D367" s="41" t="s">
        <v>37</v>
      </c>
      <c r="E367" s="39" t="s">
        <v>17</v>
      </c>
      <c r="F367" s="58" t="s">
        <v>47</v>
      </c>
      <c r="G367" s="43" t="s">
        <v>19</v>
      </c>
      <c r="H367" s="39"/>
      <c r="I367" s="44" t="str">
        <f t="shared" si="5"/>
        <v/>
      </c>
      <c r="J367" s="39"/>
      <c r="L367" s="45"/>
      <c r="M367" s="46">
        <v>180952.7</v>
      </c>
    </row>
    <row r="368" spans="1:13" ht="15.75" customHeight="1" x14ac:dyDescent="0.2">
      <c r="A368" s="39" t="s">
        <v>790</v>
      </c>
      <c r="B368" s="40" t="s">
        <v>791</v>
      </c>
      <c r="C368" s="39" t="s">
        <v>80</v>
      </c>
      <c r="D368" s="41" t="s">
        <v>37</v>
      </c>
      <c r="E368" s="39" t="s">
        <v>17</v>
      </c>
      <c r="F368" s="42" t="s">
        <v>18</v>
      </c>
      <c r="G368" s="43" t="s">
        <v>19</v>
      </c>
      <c r="H368" s="39"/>
      <c r="I368" s="44" t="str">
        <f t="shared" si="5"/>
        <v/>
      </c>
      <c r="J368" s="39"/>
      <c r="L368" s="45"/>
      <c r="M368" s="46">
        <v>180769.95</v>
      </c>
    </row>
    <row r="369" spans="1:13" ht="15.75" customHeight="1" x14ac:dyDescent="0.2">
      <c r="A369" s="39" t="s">
        <v>792</v>
      </c>
      <c r="B369" s="40" t="s">
        <v>472</v>
      </c>
      <c r="C369" s="39" t="s">
        <v>121</v>
      </c>
      <c r="D369" s="41" t="s">
        <v>37</v>
      </c>
      <c r="E369" s="39" t="s">
        <v>17</v>
      </c>
      <c r="F369" s="42" t="s">
        <v>18</v>
      </c>
      <c r="G369" s="43" t="s">
        <v>19</v>
      </c>
      <c r="H369" s="39"/>
      <c r="I369" s="44" t="str">
        <f t="shared" si="5"/>
        <v/>
      </c>
      <c r="J369" s="39"/>
      <c r="L369" s="45"/>
      <c r="M369" s="46">
        <v>178142.66</v>
      </c>
    </row>
    <row r="370" spans="1:13" ht="15.75" customHeight="1" x14ac:dyDescent="0.2">
      <c r="A370" s="39" t="s">
        <v>793</v>
      </c>
      <c r="B370" s="40" t="s">
        <v>794</v>
      </c>
      <c r="C370" s="39" t="s">
        <v>54</v>
      </c>
      <c r="D370" s="41" t="s">
        <v>126</v>
      </c>
      <c r="E370" s="39" t="s">
        <v>17</v>
      </c>
      <c r="F370" s="58" t="s">
        <v>47</v>
      </c>
      <c r="G370" s="43" t="s">
        <v>19</v>
      </c>
      <c r="H370" s="39"/>
      <c r="I370" s="44" t="str">
        <f t="shared" si="5"/>
        <v/>
      </c>
      <c r="J370" s="39"/>
      <c r="L370" s="45"/>
      <c r="M370" s="46">
        <v>176083.4</v>
      </c>
    </row>
    <row r="371" spans="1:13" ht="15.75" customHeight="1" x14ac:dyDescent="0.2">
      <c r="A371" s="39" t="s">
        <v>795</v>
      </c>
      <c r="B371" s="40" t="s">
        <v>796</v>
      </c>
      <c r="C371" s="39" t="s">
        <v>22</v>
      </c>
      <c r="D371" s="41" t="s">
        <v>37</v>
      </c>
      <c r="E371" s="39" t="s">
        <v>17</v>
      </c>
      <c r="F371" s="42" t="s">
        <v>18</v>
      </c>
      <c r="G371" s="43" t="s">
        <v>19</v>
      </c>
      <c r="H371" s="39"/>
      <c r="I371" s="44" t="str">
        <f t="shared" si="5"/>
        <v/>
      </c>
      <c r="J371" s="39"/>
      <c r="L371" s="45"/>
      <c r="M371" s="46">
        <v>173032.8</v>
      </c>
    </row>
    <row r="372" spans="1:13" ht="15.75" customHeight="1" x14ac:dyDescent="0.2">
      <c r="A372" s="39" t="s">
        <v>797</v>
      </c>
      <c r="B372" s="40" t="s">
        <v>798</v>
      </c>
      <c r="C372" s="39" t="s">
        <v>242</v>
      </c>
      <c r="D372" s="41" t="s">
        <v>37</v>
      </c>
      <c r="E372" s="39" t="s">
        <v>17</v>
      </c>
      <c r="F372" s="58" t="s">
        <v>47</v>
      </c>
      <c r="G372" s="43" t="s">
        <v>19</v>
      </c>
      <c r="H372" s="39"/>
      <c r="I372" s="44" t="str">
        <f t="shared" si="5"/>
        <v/>
      </c>
      <c r="J372" s="39"/>
      <c r="L372" s="45"/>
      <c r="M372" s="46">
        <v>172439.77</v>
      </c>
    </row>
    <row r="373" spans="1:13" ht="15.75" customHeight="1" x14ac:dyDescent="0.2">
      <c r="A373" s="47" t="s">
        <v>799</v>
      </c>
      <c r="B373" s="48" t="s">
        <v>800</v>
      </c>
      <c r="C373" s="47" t="s">
        <v>75</v>
      </c>
      <c r="D373" s="49" t="s">
        <v>37</v>
      </c>
      <c r="E373" s="47" t="s">
        <v>17</v>
      </c>
      <c r="F373" s="57" t="s">
        <v>18</v>
      </c>
      <c r="G373" s="43" t="s">
        <v>19</v>
      </c>
      <c r="H373" s="47"/>
      <c r="I373" s="44" t="str">
        <f t="shared" si="5"/>
        <v/>
      </c>
      <c r="J373" s="47"/>
      <c r="L373" s="55"/>
      <c r="M373" s="56">
        <v>170809.02</v>
      </c>
    </row>
    <row r="374" spans="1:13" ht="15.75" customHeight="1" x14ac:dyDescent="0.2">
      <c r="A374" s="47" t="s">
        <v>801</v>
      </c>
      <c r="B374" s="48" t="s">
        <v>802</v>
      </c>
      <c r="C374" s="47" t="s">
        <v>92</v>
      </c>
      <c r="D374" s="49" t="s">
        <v>126</v>
      </c>
      <c r="E374" s="47" t="s">
        <v>17</v>
      </c>
      <c r="F374" s="59" t="s">
        <v>47</v>
      </c>
      <c r="G374" s="43" t="s">
        <v>19</v>
      </c>
      <c r="H374" s="47"/>
      <c r="I374" s="44" t="str">
        <f t="shared" si="5"/>
        <v/>
      </c>
      <c r="J374" s="47"/>
      <c r="L374" s="55"/>
      <c r="M374" s="56">
        <v>170599.39</v>
      </c>
    </row>
    <row r="375" spans="1:13" ht="15.75" customHeight="1" x14ac:dyDescent="0.2">
      <c r="A375" s="47" t="s">
        <v>803</v>
      </c>
      <c r="B375" s="48" t="s">
        <v>804</v>
      </c>
      <c r="C375" s="47" t="s">
        <v>121</v>
      </c>
      <c r="D375" s="49" t="s">
        <v>37</v>
      </c>
      <c r="E375" s="47" t="s">
        <v>17</v>
      </c>
      <c r="F375" s="57" t="s">
        <v>18</v>
      </c>
      <c r="G375" s="43" t="s">
        <v>19</v>
      </c>
      <c r="H375" s="47"/>
      <c r="I375" s="44" t="str">
        <f t="shared" si="5"/>
        <v/>
      </c>
      <c r="J375" s="47"/>
      <c r="L375" s="55"/>
      <c r="M375" s="56">
        <v>169953.41</v>
      </c>
    </row>
    <row r="376" spans="1:13" ht="15.75" customHeight="1" x14ac:dyDescent="0.2">
      <c r="A376" s="47" t="s">
        <v>805</v>
      </c>
      <c r="B376" s="48" t="s">
        <v>806</v>
      </c>
      <c r="C376" s="47" t="s">
        <v>273</v>
      </c>
      <c r="D376" s="49" t="s">
        <v>37</v>
      </c>
      <c r="E376" s="47" t="s">
        <v>17</v>
      </c>
      <c r="F376" s="59" t="s">
        <v>47</v>
      </c>
      <c r="G376" s="43" t="s">
        <v>19</v>
      </c>
      <c r="H376" s="47"/>
      <c r="I376" s="44" t="str">
        <f t="shared" si="5"/>
        <v/>
      </c>
      <c r="J376" s="47"/>
      <c r="L376" s="55"/>
      <c r="M376" s="56">
        <v>165890.68</v>
      </c>
    </row>
    <row r="377" spans="1:13" ht="15.75" customHeight="1" x14ac:dyDescent="0.2">
      <c r="A377" s="47" t="s">
        <v>807</v>
      </c>
      <c r="B377" s="48" t="s">
        <v>808</v>
      </c>
      <c r="C377" s="47" t="s">
        <v>75</v>
      </c>
      <c r="D377" s="49" t="s">
        <v>51</v>
      </c>
      <c r="E377" s="47" t="s">
        <v>109</v>
      </c>
      <c r="F377" s="57" t="s">
        <v>18</v>
      </c>
      <c r="G377" s="43" t="s">
        <v>19</v>
      </c>
      <c r="H377" s="47"/>
      <c r="I377" s="44" t="str">
        <f t="shared" si="5"/>
        <v/>
      </c>
      <c r="J377" s="47"/>
      <c r="L377" s="55"/>
      <c r="M377" s="56">
        <v>165151.67000000001</v>
      </c>
    </row>
    <row r="378" spans="1:13" ht="15.75" customHeight="1" x14ac:dyDescent="0.2">
      <c r="A378" s="47" t="s">
        <v>809</v>
      </c>
      <c r="B378" s="48" t="s">
        <v>810</v>
      </c>
      <c r="C378" s="47" t="s">
        <v>273</v>
      </c>
      <c r="D378" s="49" t="s">
        <v>37</v>
      </c>
      <c r="E378" s="47" t="s">
        <v>17</v>
      </c>
      <c r="F378" s="57" t="s">
        <v>18</v>
      </c>
      <c r="G378" s="43" t="s">
        <v>19</v>
      </c>
      <c r="H378" s="47"/>
      <c r="I378" s="44" t="str">
        <f t="shared" si="5"/>
        <v/>
      </c>
      <c r="J378" s="47"/>
      <c r="L378" s="55"/>
      <c r="M378" s="56">
        <v>164052.59</v>
      </c>
    </row>
    <row r="379" spans="1:13" ht="15.75" customHeight="1" x14ac:dyDescent="0.2">
      <c r="A379" s="47" t="s">
        <v>811</v>
      </c>
      <c r="B379" s="48" t="s">
        <v>812</v>
      </c>
      <c r="C379" s="47" t="s">
        <v>80</v>
      </c>
      <c r="D379" s="49" t="s">
        <v>37</v>
      </c>
      <c r="E379" s="47" t="s">
        <v>17</v>
      </c>
      <c r="F379" s="57" t="s">
        <v>18</v>
      </c>
      <c r="G379" s="43" t="s">
        <v>19</v>
      </c>
      <c r="H379" s="47"/>
      <c r="I379" s="44" t="str">
        <f t="shared" si="5"/>
        <v/>
      </c>
      <c r="J379" s="47"/>
      <c r="L379" s="55"/>
      <c r="M379" s="56">
        <v>160127.84</v>
      </c>
    </row>
    <row r="380" spans="1:13" ht="15.75" customHeight="1" x14ac:dyDescent="0.2">
      <c r="A380" s="47" t="s">
        <v>813</v>
      </c>
      <c r="B380" s="48" t="s">
        <v>814</v>
      </c>
      <c r="C380" s="47" t="s">
        <v>273</v>
      </c>
      <c r="D380" s="49" t="s">
        <v>37</v>
      </c>
      <c r="E380" s="47" t="s">
        <v>17</v>
      </c>
      <c r="F380" s="59" t="s">
        <v>47</v>
      </c>
      <c r="G380" s="43" t="s">
        <v>19</v>
      </c>
      <c r="H380" s="47"/>
      <c r="I380" s="44" t="str">
        <f t="shared" si="5"/>
        <v/>
      </c>
      <c r="J380" s="47"/>
      <c r="L380" s="55"/>
      <c r="M380" s="56">
        <v>159159.26</v>
      </c>
    </row>
    <row r="381" spans="1:13" ht="15.75" customHeight="1" x14ac:dyDescent="0.2">
      <c r="A381" s="39" t="s">
        <v>815</v>
      </c>
      <c r="B381" s="40" t="s">
        <v>816</v>
      </c>
      <c r="C381" s="39" t="s">
        <v>92</v>
      </c>
      <c r="D381" s="41" t="s">
        <v>51</v>
      </c>
      <c r="E381" s="39" t="s">
        <v>17</v>
      </c>
      <c r="F381" s="58" t="s">
        <v>47</v>
      </c>
      <c r="G381" s="43" t="s">
        <v>19</v>
      </c>
      <c r="H381" s="39"/>
      <c r="I381" s="44" t="str">
        <f t="shared" si="5"/>
        <v/>
      </c>
      <c r="J381" s="39"/>
      <c r="L381" s="45"/>
      <c r="M381" s="46">
        <v>157223.01999999999</v>
      </c>
    </row>
    <row r="382" spans="1:13" ht="15.75" customHeight="1" x14ac:dyDescent="0.2">
      <c r="A382" s="39" t="s">
        <v>817</v>
      </c>
      <c r="B382" s="40" t="s">
        <v>818</v>
      </c>
      <c r="C382" s="39" t="s">
        <v>106</v>
      </c>
      <c r="D382" s="41" t="s">
        <v>37</v>
      </c>
      <c r="E382" s="39" t="s">
        <v>17</v>
      </c>
      <c r="F382" s="42" t="s">
        <v>18</v>
      </c>
      <c r="G382" s="43" t="s">
        <v>19</v>
      </c>
      <c r="H382" s="39"/>
      <c r="I382" s="44" t="str">
        <f t="shared" si="5"/>
        <v/>
      </c>
      <c r="J382" s="39"/>
      <c r="L382" s="45"/>
      <c r="M382" s="46">
        <v>156989.56</v>
      </c>
    </row>
    <row r="383" spans="1:13" ht="15.75" customHeight="1" x14ac:dyDescent="0.2">
      <c r="A383" s="47" t="s">
        <v>819</v>
      </c>
      <c r="B383" s="48" t="s">
        <v>820</v>
      </c>
      <c r="C383" s="47" t="s">
        <v>121</v>
      </c>
      <c r="D383" s="49" t="s">
        <v>37</v>
      </c>
      <c r="E383" s="47" t="s">
        <v>17</v>
      </c>
      <c r="F383" s="59" t="s">
        <v>47</v>
      </c>
      <c r="G383" s="43" t="s">
        <v>19</v>
      </c>
      <c r="H383" s="47"/>
      <c r="I383" s="44" t="str">
        <f t="shared" si="5"/>
        <v/>
      </c>
      <c r="J383" s="47"/>
      <c r="L383" s="55"/>
      <c r="M383" s="56">
        <v>156679.56</v>
      </c>
    </row>
    <row r="384" spans="1:13" ht="15.75" customHeight="1" x14ac:dyDescent="0.2">
      <c r="A384" s="39" t="s">
        <v>821</v>
      </c>
      <c r="B384" s="40" t="s">
        <v>822</v>
      </c>
      <c r="C384" s="39" t="s">
        <v>130</v>
      </c>
      <c r="D384" s="41" t="s">
        <v>126</v>
      </c>
      <c r="E384" s="39" t="s">
        <v>17</v>
      </c>
      <c r="F384" s="58" t="s">
        <v>47</v>
      </c>
      <c r="G384" s="43" t="s">
        <v>19</v>
      </c>
      <c r="H384" s="39"/>
      <c r="I384" s="44" t="str">
        <f t="shared" si="5"/>
        <v/>
      </c>
      <c r="J384" s="39"/>
      <c r="L384" s="45"/>
      <c r="M384" s="46">
        <v>156331.35999999999</v>
      </c>
    </row>
    <row r="385" spans="1:13" ht="15.75" customHeight="1" x14ac:dyDescent="0.2">
      <c r="A385" s="39" t="s">
        <v>823</v>
      </c>
      <c r="B385" s="40" t="s">
        <v>824</v>
      </c>
      <c r="C385" s="39" t="s">
        <v>130</v>
      </c>
      <c r="D385" s="41" t="s">
        <v>126</v>
      </c>
      <c r="E385" s="39" t="s">
        <v>17</v>
      </c>
      <c r="F385" s="58" t="s">
        <v>47</v>
      </c>
      <c r="G385" s="43" t="s">
        <v>19</v>
      </c>
      <c r="H385" s="39"/>
      <c r="I385" s="44" t="str">
        <f t="shared" si="5"/>
        <v/>
      </c>
      <c r="J385" s="39"/>
      <c r="L385" s="45"/>
      <c r="M385" s="46">
        <v>155431.98000000001</v>
      </c>
    </row>
    <row r="386" spans="1:13" ht="15.75" customHeight="1" x14ac:dyDescent="0.2">
      <c r="A386" s="39" t="s">
        <v>825</v>
      </c>
      <c r="B386" s="40" t="s">
        <v>826</v>
      </c>
      <c r="C386" s="39" t="s">
        <v>138</v>
      </c>
      <c r="D386" s="41" t="s">
        <v>37</v>
      </c>
      <c r="E386" s="39" t="s">
        <v>17</v>
      </c>
      <c r="F386" s="42" t="s">
        <v>18</v>
      </c>
      <c r="G386" s="43" t="s">
        <v>19</v>
      </c>
      <c r="H386" s="39"/>
      <c r="I386" s="44" t="str">
        <f t="shared" ref="I386:I449" si="6">IF(H386="","",H386+9)</f>
        <v/>
      </c>
      <c r="J386" s="39"/>
      <c r="L386" s="45"/>
      <c r="M386" s="46">
        <v>153567</v>
      </c>
    </row>
    <row r="387" spans="1:13" ht="15.75" customHeight="1" x14ac:dyDescent="0.2">
      <c r="A387" s="47" t="s">
        <v>827</v>
      </c>
      <c r="B387" s="48" t="s">
        <v>828</v>
      </c>
      <c r="C387" s="47" t="s">
        <v>242</v>
      </c>
      <c r="D387" s="49" t="s">
        <v>37</v>
      </c>
      <c r="E387" s="47" t="s">
        <v>17</v>
      </c>
      <c r="F387" s="57" t="s">
        <v>18</v>
      </c>
      <c r="G387" s="43" t="s">
        <v>19</v>
      </c>
      <c r="H387" s="47"/>
      <c r="I387" s="44" t="str">
        <f t="shared" si="6"/>
        <v/>
      </c>
      <c r="J387" s="47"/>
      <c r="L387" s="55"/>
      <c r="M387" s="56">
        <v>153321.28</v>
      </c>
    </row>
    <row r="388" spans="1:13" ht="15.75" customHeight="1" x14ac:dyDescent="0.2">
      <c r="A388" s="39" t="s">
        <v>829</v>
      </c>
      <c r="B388" s="40" t="s">
        <v>830</v>
      </c>
      <c r="C388" s="39" t="s">
        <v>80</v>
      </c>
      <c r="D388" s="41" t="s">
        <v>37</v>
      </c>
      <c r="E388" s="39" t="s">
        <v>17</v>
      </c>
      <c r="F388" s="58" t="s">
        <v>47</v>
      </c>
      <c r="G388" s="43" t="s">
        <v>19</v>
      </c>
      <c r="H388" s="39"/>
      <c r="I388" s="44" t="str">
        <f t="shared" si="6"/>
        <v/>
      </c>
      <c r="J388" s="39"/>
      <c r="L388" s="45"/>
      <c r="M388" s="46">
        <v>152729.66</v>
      </c>
    </row>
    <row r="389" spans="1:13" ht="15.75" customHeight="1" x14ac:dyDescent="0.2">
      <c r="A389" s="39" t="s">
        <v>831</v>
      </c>
      <c r="B389" s="40" t="s">
        <v>832</v>
      </c>
      <c r="C389" s="39" t="s">
        <v>273</v>
      </c>
      <c r="D389" s="41" t="s">
        <v>37</v>
      </c>
      <c r="E389" s="39" t="s">
        <v>17</v>
      </c>
      <c r="F389" s="58" t="s">
        <v>47</v>
      </c>
      <c r="G389" s="43" t="s">
        <v>19</v>
      </c>
      <c r="H389" s="39"/>
      <c r="I389" s="44" t="str">
        <f t="shared" si="6"/>
        <v/>
      </c>
      <c r="J389" s="39"/>
      <c r="L389" s="45"/>
      <c r="M389" s="46">
        <v>152459.20000000001</v>
      </c>
    </row>
    <row r="390" spans="1:13" ht="15.75" customHeight="1" x14ac:dyDescent="0.2">
      <c r="A390" s="47" t="s">
        <v>833</v>
      </c>
      <c r="B390" s="48" t="s">
        <v>834</v>
      </c>
      <c r="C390" s="47" t="s">
        <v>28</v>
      </c>
      <c r="D390" s="49" t="s">
        <v>29</v>
      </c>
      <c r="E390" s="47" t="s">
        <v>17</v>
      </c>
      <c r="F390" s="59" t="s">
        <v>47</v>
      </c>
      <c r="G390" s="43" t="s">
        <v>19</v>
      </c>
      <c r="H390" s="47"/>
      <c r="I390" s="44" t="str">
        <f t="shared" si="6"/>
        <v/>
      </c>
      <c r="J390" s="47"/>
      <c r="L390" s="55"/>
      <c r="M390" s="56">
        <v>151062.81</v>
      </c>
    </row>
    <row r="391" spans="1:13" ht="15.75" customHeight="1" x14ac:dyDescent="0.2">
      <c r="A391" s="47" t="s">
        <v>835</v>
      </c>
      <c r="B391" s="48" t="s">
        <v>836</v>
      </c>
      <c r="C391" s="47" t="s">
        <v>138</v>
      </c>
      <c r="D391" s="49" t="s">
        <v>126</v>
      </c>
      <c r="E391" s="47" t="s">
        <v>17</v>
      </c>
      <c r="F391" s="59" t="s">
        <v>47</v>
      </c>
      <c r="G391" s="43" t="s">
        <v>19</v>
      </c>
      <c r="H391" s="47"/>
      <c r="I391" s="44" t="str">
        <f t="shared" si="6"/>
        <v/>
      </c>
      <c r="J391" s="47"/>
      <c r="L391" s="55"/>
      <c r="M391" s="56">
        <v>150242.57999999999</v>
      </c>
    </row>
    <row r="392" spans="1:13" ht="15.75" customHeight="1" x14ac:dyDescent="0.2">
      <c r="A392" s="47" t="s">
        <v>837</v>
      </c>
      <c r="B392" s="48" t="s">
        <v>838</v>
      </c>
      <c r="C392" s="47" t="s">
        <v>75</v>
      </c>
      <c r="D392" s="49" t="s">
        <v>23</v>
      </c>
      <c r="E392" s="47" t="s">
        <v>109</v>
      </c>
      <c r="F392" s="57" t="s">
        <v>18</v>
      </c>
      <c r="G392" s="43" t="s">
        <v>19</v>
      </c>
      <c r="H392" s="47"/>
      <c r="I392" s="44" t="str">
        <f t="shared" si="6"/>
        <v/>
      </c>
      <c r="J392" s="47"/>
      <c r="L392" s="55"/>
      <c r="M392" s="56">
        <v>148324.32</v>
      </c>
    </row>
    <row r="393" spans="1:13" ht="15.75" customHeight="1" x14ac:dyDescent="0.2">
      <c r="A393" s="47" t="s">
        <v>839</v>
      </c>
      <c r="B393" s="48" t="s">
        <v>840</v>
      </c>
      <c r="C393" s="47" t="s">
        <v>130</v>
      </c>
      <c r="D393" s="49" t="s">
        <v>126</v>
      </c>
      <c r="E393" s="47" t="s">
        <v>17</v>
      </c>
      <c r="F393" s="59" t="s">
        <v>47</v>
      </c>
      <c r="G393" s="43" t="s">
        <v>19</v>
      </c>
      <c r="H393" s="47"/>
      <c r="I393" s="44" t="str">
        <f t="shared" si="6"/>
        <v/>
      </c>
      <c r="J393" s="47"/>
      <c r="L393" s="55"/>
      <c r="M393" s="56">
        <v>144498.1</v>
      </c>
    </row>
    <row r="394" spans="1:13" ht="15.75" customHeight="1" x14ac:dyDescent="0.2">
      <c r="A394" s="39" t="s">
        <v>841</v>
      </c>
      <c r="B394" s="40" t="s">
        <v>842</v>
      </c>
      <c r="C394" s="39" t="s">
        <v>75</v>
      </c>
      <c r="D394" s="41" t="s">
        <v>37</v>
      </c>
      <c r="E394" s="39" t="s">
        <v>17</v>
      </c>
      <c r="F394" s="42" t="s">
        <v>18</v>
      </c>
      <c r="G394" s="43" t="s">
        <v>19</v>
      </c>
      <c r="H394" s="39"/>
      <c r="I394" s="44" t="str">
        <f t="shared" si="6"/>
        <v/>
      </c>
      <c r="J394" s="39"/>
      <c r="L394" s="45"/>
      <c r="M394" s="46">
        <v>144096.14000000001</v>
      </c>
    </row>
    <row r="395" spans="1:13" ht="15.75" customHeight="1" x14ac:dyDescent="0.2">
      <c r="A395" s="47" t="s">
        <v>843</v>
      </c>
      <c r="B395" s="48" t="s">
        <v>844</v>
      </c>
      <c r="C395" s="47" t="s">
        <v>242</v>
      </c>
      <c r="D395" s="49" t="s">
        <v>37</v>
      </c>
      <c r="E395" s="47" t="s">
        <v>17</v>
      </c>
      <c r="F395" s="57" t="s">
        <v>18</v>
      </c>
      <c r="G395" s="43" t="s">
        <v>19</v>
      </c>
      <c r="H395" s="47"/>
      <c r="I395" s="44" t="str">
        <f t="shared" si="6"/>
        <v/>
      </c>
      <c r="J395" s="47"/>
      <c r="L395" s="55"/>
      <c r="M395" s="56">
        <v>142880.88</v>
      </c>
    </row>
    <row r="396" spans="1:13" ht="15.75" customHeight="1" x14ac:dyDescent="0.2">
      <c r="A396" s="47" t="s">
        <v>845</v>
      </c>
      <c r="B396" s="48" t="s">
        <v>846</v>
      </c>
      <c r="C396" s="47" t="s">
        <v>273</v>
      </c>
      <c r="D396" s="49" t="s">
        <v>37</v>
      </c>
      <c r="E396" s="47" t="s">
        <v>17</v>
      </c>
      <c r="F396" s="59" t="s">
        <v>47</v>
      </c>
      <c r="G396" s="43" t="s">
        <v>19</v>
      </c>
      <c r="H396" s="47"/>
      <c r="I396" s="44" t="str">
        <f t="shared" si="6"/>
        <v/>
      </c>
      <c r="J396" s="47"/>
      <c r="L396" s="55"/>
      <c r="M396" s="56">
        <v>142194.18</v>
      </c>
    </row>
    <row r="397" spans="1:13" ht="15.75" customHeight="1" x14ac:dyDescent="0.2">
      <c r="A397" s="39" t="s">
        <v>847</v>
      </c>
      <c r="B397" s="40" t="s">
        <v>848</v>
      </c>
      <c r="C397" s="39" t="s">
        <v>242</v>
      </c>
      <c r="D397" s="41" t="s">
        <v>37</v>
      </c>
      <c r="E397" s="39" t="s">
        <v>17</v>
      </c>
      <c r="F397" s="42" t="s">
        <v>18</v>
      </c>
      <c r="G397" s="43" t="s">
        <v>19</v>
      </c>
      <c r="H397" s="39"/>
      <c r="I397" s="44" t="str">
        <f t="shared" si="6"/>
        <v/>
      </c>
      <c r="J397" s="39"/>
      <c r="L397" s="45"/>
      <c r="M397" s="46">
        <v>141342.32999999999</v>
      </c>
    </row>
    <row r="398" spans="1:13" ht="15.75" customHeight="1" x14ac:dyDescent="0.2">
      <c r="A398" s="39" t="s">
        <v>849</v>
      </c>
      <c r="B398" s="40" t="s">
        <v>850</v>
      </c>
      <c r="C398" s="39" t="s">
        <v>36</v>
      </c>
      <c r="D398" s="41" t="s">
        <v>37</v>
      </c>
      <c r="E398" s="39" t="s">
        <v>17</v>
      </c>
      <c r="F398" s="58" t="s">
        <v>47</v>
      </c>
      <c r="G398" s="43" t="s">
        <v>19</v>
      </c>
      <c r="H398" s="39"/>
      <c r="I398" s="44" t="str">
        <f t="shared" si="6"/>
        <v/>
      </c>
      <c r="J398" s="39"/>
      <c r="L398" s="45"/>
      <c r="M398" s="46">
        <v>141320.17000000001</v>
      </c>
    </row>
    <row r="399" spans="1:13" ht="15.75" customHeight="1" x14ac:dyDescent="0.2">
      <c r="A399" s="47" t="s">
        <v>851</v>
      </c>
      <c r="B399" s="48" t="s">
        <v>852</v>
      </c>
      <c r="C399" s="47" t="s">
        <v>242</v>
      </c>
      <c r="D399" s="49" t="s">
        <v>37</v>
      </c>
      <c r="E399" s="47" t="s">
        <v>17</v>
      </c>
      <c r="F399" s="57" t="s">
        <v>18</v>
      </c>
      <c r="G399" s="43" t="s">
        <v>19</v>
      </c>
      <c r="H399" s="47"/>
      <c r="I399" s="44" t="str">
        <f t="shared" si="6"/>
        <v/>
      </c>
      <c r="J399" s="47"/>
      <c r="L399" s="55"/>
      <c r="M399" s="56">
        <v>140598.19</v>
      </c>
    </row>
    <row r="400" spans="1:13" ht="15.75" customHeight="1" x14ac:dyDescent="0.2">
      <c r="A400" s="39" t="s">
        <v>853</v>
      </c>
      <c r="B400" s="40" t="s">
        <v>854</v>
      </c>
      <c r="C400" s="39" t="s">
        <v>242</v>
      </c>
      <c r="D400" s="41" t="s">
        <v>37</v>
      </c>
      <c r="E400" s="39" t="s">
        <v>17</v>
      </c>
      <c r="F400" s="58" t="s">
        <v>47</v>
      </c>
      <c r="G400" s="43" t="s">
        <v>19</v>
      </c>
      <c r="H400" s="39"/>
      <c r="I400" s="44" t="str">
        <f t="shared" si="6"/>
        <v/>
      </c>
      <c r="J400" s="39"/>
      <c r="L400" s="45"/>
      <c r="M400" s="46">
        <v>136070.1</v>
      </c>
    </row>
    <row r="401" spans="1:13" ht="15.75" customHeight="1" x14ac:dyDescent="0.2">
      <c r="A401" s="47" t="s">
        <v>855</v>
      </c>
      <c r="B401" s="48" t="s">
        <v>856</v>
      </c>
      <c r="C401" s="47" t="s">
        <v>62</v>
      </c>
      <c r="D401" s="49" t="s">
        <v>37</v>
      </c>
      <c r="E401" s="47" t="s">
        <v>17</v>
      </c>
      <c r="F401" s="59" t="s">
        <v>47</v>
      </c>
      <c r="G401" s="43" t="s">
        <v>19</v>
      </c>
      <c r="H401" s="47"/>
      <c r="I401" s="44" t="str">
        <f t="shared" si="6"/>
        <v/>
      </c>
      <c r="J401" s="47"/>
      <c r="L401" s="55"/>
      <c r="M401" s="56">
        <v>135270.39000000001</v>
      </c>
    </row>
    <row r="402" spans="1:13" ht="15.75" customHeight="1" x14ac:dyDescent="0.2">
      <c r="A402" s="47" t="s">
        <v>857</v>
      </c>
      <c r="B402" s="48" t="s">
        <v>858</v>
      </c>
      <c r="C402" s="47" t="s">
        <v>121</v>
      </c>
      <c r="D402" s="49" t="s">
        <v>37</v>
      </c>
      <c r="E402" s="47" t="s">
        <v>17</v>
      </c>
      <c r="F402" s="59" t="s">
        <v>47</v>
      </c>
      <c r="G402" s="43" t="s">
        <v>19</v>
      </c>
      <c r="H402" s="47"/>
      <c r="I402" s="44" t="str">
        <f t="shared" si="6"/>
        <v/>
      </c>
      <c r="J402" s="47"/>
      <c r="L402" s="55"/>
      <c r="M402" s="56">
        <v>132897.23000000001</v>
      </c>
    </row>
    <row r="403" spans="1:13" ht="15.75" customHeight="1" x14ac:dyDescent="0.2">
      <c r="A403" s="39" t="s">
        <v>859</v>
      </c>
      <c r="B403" s="40" t="s">
        <v>860</v>
      </c>
      <c r="C403" s="39" t="s">
        <v>106</v>
      </c>
      <c r="D403" s="41" t="s">
        <v>37</v>
      </c>
      <c r="E403" s="39" t="s">
        <v>17</v>
      </c>
      <c r="F403" s="58" t="s">
        <v>47</v>
      </c>
      <c r="G403" s="43" t="s">
        <v>19</v>
      </c>
      <c r="H403" s="39"/>
      <c r="I403" s="44" t="str">
        <f t="shared" si="6"/>
        <v/>
      </c>
      <c r="J403" s="39"/>
      <c r="L403" s="45"/>
      <c r="M403" s="46">
        <v>131763.49</v>
      </c>
    </row>
    <row r="404" spans="1:13" ht="15.75" customHeight="1" x14ac:dyDescent="0.2">
      <c r="A404" s="39" t="s">
        <v>861</v>
      </c>
      <c r="B404" s="40" t="s">
        <v>862</v>
      </c>
      <c r="C404" s="39" t="s">
        <v>233</v>
      </c>
      <c r="D404" s="41" t="s">
        <v>126</v>
      </c>
      <c r="E404" s="39" t="s">
        <v>109</v>
      </c>
      <c r="F404" s="58" t="s">
        <v>47</v>
      </c>
      <c r="G404" s="43" t="s">
        <v>19</v>
      </c>
      <c r="H404" s="39"/>
      <c r="I404" s="44" t="str">
        <f t="shared" si="6"/>
        <v/>
      </c>
      <c r="J404" s="39"/>
      <c r="L404" s="45"/>
      <c r="M404" s="46">
        <v>129297.46</v>
      </c>
    </row>
    <row r="405" spans="1:13" ht="15.75" customHeight="1" x14ac:dyDescent="0.2">
      <c r="A405" s="47" t="s">
        <v>863</v>
      </c>
      <c r="B405" s="48" t="s">
        <v>864</v>
      </c>
      <c r="C405" s="47" t="s">
        <v>242</v>
      </c>
      <c r="D405" s="49" t="s">
        <v>37</v>
      </c>
      <c r="E405" s="47" t="s">
        <v>17</v>
      </c>
      <c r="F405" s="57" t="s">
        <v>18</v>
      </c>
      <c r="G405" s="43" t="s">
        <v>19</v>
      </c>
      <c r="H405" s="47"/>
      <c r="I405" s="44" t="str">
        <f t="shared" si="6"/>
        <v/>
      </c>
      <c r="J405" s="47"/>
      <c r="L405" s="55"/>
      <c r="M405" s="56">
        <v>126659.16</v>
      </c>
    </row>
    <row r="406" spans="1:13" ht="15.75" customHeight="1" x14ac:dyDescent="0.2">
      <c r="A406" s="39" t="s">
        <v>865</v>
      </c>
      <c r="B406" s="40" t="s">
        <v>866</v>
      </c>
      <c r="C406" s="39" t="s">
        <v>92</v>
      </c>
      <c r="D406" s="41" t="s">
        <v>126</v>
      </c>
      <c r="E406" s="39" t="s">
        <v>17</v>
      </c>
      <c r="F406" s="58" t="s">
        <v>47</v>
      </c>
      <c r="G406" s="43" t="s">
        <v>19</v>
      </c>
      <c r="H406" s="39"/>
      <c r="I406" s="44" t="str">
        <f t="shared" si="6"/>
        <v/>
      </c>
      <c r="J406" s="39"/>
      <c r="L406" s="45"/>
      <c r="M406" s="46">
        <v>126414.74</v>
      </c>
    </row>
    <row r="407" spans="1:13" ht="15.75" customHeight="1" x14ac:dyDescent="0.2">
      <c r="A407" s="47" t="s">
        <v>867</v>
      </c>
      <c r="B407" s="48" t="s">
        <v>868</v>
      </c>
      <c r="C407" s="47" t="s">
        <v>273</v>
      </c>
      <c r="D407" s="49" t="s">
        <v>37</v>
      </c>
      <c r="E407" s="47" t="s">
        <v>17</v>
      </c>
      <c r="F407" s="59" t="s">
        <v>47</v>
      </c>
      <c r="G407" s="43" t="s">
        <v>19</v>
      </c>
      <c r="H407" s="47"/>
      <c r="I407" s="44" t="str">
        <f t="shared" si="6"/>
        <v/>
      </c>
      <c r="J407" s="47"/>
      <c r="L407" s="55"/>
      <c r="M407" s="56">
        <v>124311.46</v>
      </c>
    </row>
    <row r="408" spans="1:13" ht="15.75" customHeight="1" x14ac:dyDescent="0.2">
      <c r="A408" s="39" t="s">
        <v>869</v>
      </c>
      <c r="B408" s="40" t="s">
        <v>870</v>
      </c>
      <c r="C408" s="39" t="s">
        <v>92</v>
      </c>
      <c r="D408" s="41" t="s">
        <v>126</v>
      </c>
      <c r="E408" s="39" t="s">
        <v>17</v>
      </c>
      <c r="F408" s="58" t="s">
        <v>47</v>
      </c>
      <c r="G408" s="43" t="s">
        <v>19</v>
      </c>
      <c r="H408" s="39"/>
      <c r="I408" s="44" t="str">
        <f t="shared" si="6"/>
        <v/>
      </c>
      <c r="J408" s="39"/>
      <c r="L408" s="45"/>
      <c r="M408" s="46">
        <v>123656.24</v>
      </c>
    </row>
    <row r="409" spans="1:13" ht="15.75" customHeight="1" x14ac:dyDescent="0.2">
      <c r="A409" s="47" t="s">
        <v>871</v>
      </c>
      <c r="B409" s="48" t="s">
        <v>872</v>
      </c>
      <c r="C409" s="47" t="s">
        <v>242</v>
      </c>
      <c r="D409" s="49" t="s">
        <v>37</v>
      </c>
      <c r="E409" s="47" t="s">
        <v>17</v>
      </c>
      <c r="F409" s="59" t="s">
        <v>47</v>
      </c>
      <c r="G409" s="43" t="s">
        <v>19</v>
      </c>
      <c r="H409" s="47"/>
      <c r="I409" s="44" t="str">
        <f t="shared" si="6"/>
        <v/>
      </c>
      <c r="J409" s="47"/>
      <c r="L409" s="55"/>
      <c r="M409" s="56">
        <v>122188.47</v>
      </c>
    </row>
    <row r="410" spans="1:13" ht="15.75" customHeight="1" x14ac:dyDescent="0.2">
      <c r="A410" s="47" t="s">
        <v>873</v>
      </c>
      <c r="B410" s="48" t="s">
        <v>874</v>
      </c>
      <c r="C410" s="47" t="s">
        <v>92</v>
      </c>
      <c r="D410" s="49" t="s">
        <v>126</v>
      </c>
      <c r="E410" s="47" t="s">
        <v>17</v>
      </c>
      <c r="F410" s="59" t="s">
        <v>47</v>
      </c>
      <c r="G410" s="43" t="s">
        <v>19</v>
      </c>
      <c r="H410" s="47"/>
      <c r="I410" s="44" t="str">
        <f t="shared" si="6"/>
        <v/>
      </c>
      <c r="J410" s="47"/>
      <c r="L410" s="55"/>
      <c r="M410" s="56">
        <v>121647.28</v>
      </c>
    </row>
    <row r="411" spans="1:13" ht="15.75" customHeight="1" x14ac:dyDescent="0.2">
      <c r="A411" s="47" t="s">
        <v>875</v>
      </c>
      <c r="B411" s="48" t="s">
        <v>876</v>
      </c>
      <c r="C411" s="47" t="s">
        <v>62</v>
      </c>
      <c r="D411" s="49" t="s">
        <v>23</v>
      </c>
      <c r="E411" s="47" t="s">
        <v>17</v>
      </c>
      <c r="F411" s="59" t="s">
        <v>47</v>
      </c>
      <c r="G411" s="43" t="s">
        <v>19</v>
      </c>
      <c r="H411" s="47"/>
      <c r="I411" s="44" t="str">
        <f t="shared" si="6"/>
        <v/>
      </c>
      <c r="J411" s="47"/>
      <c r="L411" s="55"/>
      <c r="M411" s="56">
        <v>120151</v>
      </c>
    </row>
    <row r="412" spans="1:13" ht="15.75" customHeight="1" x14ac:dyDescent="0.2">
      <c r="A412" s="47" t="s">
        <v>877</v>
      </c>
      <c r="B412" s="48" t="s">
        <v>878</v>
      </c>
      <c r="C412" s="47" t="s">
        <v>273</v>
      </c>
      <c r="D412" s="49" t="s">
        <v>37</v>
      </c>
      <c r="E412" s="47" t="s">
        <v>17</v>
      </c>
      <c r="F412" s="59" t="s">
        <v>47</v>
      </c>
      <c r="G412" s="43" t="s">
        <v>19</v>
      </c>
      <c r="H412" s="47"/>
      <c r="I412" s="44" t="str">
        <f t="shared" si="6"/>
        <v/>
      </c>
      <c r="J412" s="47"/>
      <c r="L412" s="55"/>
      <c r="M412" s="56">
        <v>111158.8</v>
      </c>
    </row>
    <row r="413" spans="1:13" ht="15.75" customHeight="1" x14ac:dyDescent="0.2">
      <c r="A413" s="39" t="s">
        <v>879</v>
      </c>
      <c r="B413" s="40" t="s">
        <v>880</v>
      </c>
      <c r="C413" s="39" t="s">
        <v>121</v>
      </c>
      <c r="D413" s="41" t="s">
        <v>37</v>
      </c>
      <c r="E413" s="39" t="s">
        <v>17</v>
      </c>
      <c r="F413" s="58" t="s">
        <v>47</v>
      </c>
      <c r="G413" s="43" t="s">
        <v>19</v>
      </c>
      <c r="H413" s="39"/>
      <c r="I413" s="44" t="str">
        <f t="shared" si="6"/>
        <v/>
      </c>
      <c r="J413" s="39"/>
      <c r="L413" s="45"/>
      <c r="M413" s="46">
        <v>110981.9</v>
      </c>
    </row>
    <row r="414" spans="1:13" ht="15.75" customHeight="1" x14ac:dyDescent="0.2">
      <c r="A414" s="39" t="s">
        <v>881</v>
      </c>
      <c r="B414" s="40" t="s">
        <v>882</v>
      </c>
      <c r="C414" s="39" t="s">
        <v>54</v>
      </c>
      <c r="D414" s="41" t="s">
        <v>126</v>
      </c>
      <c r="E414" s="39" t="s">
        <v>17</v>
      </c>
      <c r="F414" s="42" t="s">
        <v>18</v>
      </c>
      <c r="G414" s="43" t="s">
        <v>19</v>
      </c>
      <c r="H414" s="39"/>
      <c r="I414" s="44" t="str">
        <f t="shared" si="6"/>
        <v/>
      </c>
      <c r="J414" s="39"/>
      <c r="L414" s="45"/>
      <c r="M414" s="46">
        <v>110722.34</v>
      </c>
    </row>
    <row r="415" spans="1:13" ht="15.75" customHeight="1" x14ac:dyDescent="0.2">
      <c r="A415" s="39" t="s">
        <v>883</v>
      </c>
      <c r="B415" s="40" t="s">
        <v>884</v>
      </c>
      <c r="C415" s="39" t="s">
        <v>273</v>
      </c>
      <c r="D415" s="41" t="s">
        <v>51</v>
      </c>
      <c r="E415" s="39" t="s">
        <v>17</v>
      </c>
      <c r="F415" s="42" t="s">
        <v>18</v>
      </c>
      <c r="G415" s="43" t="s">
        <v>19</v>
      </c>
      <c r="H415" s="39"/>
      <c r="I415" s="44" t="str">
        <f t="shared" si="6"/>
        <v/>
      </c>
      <c r="J415" s="39"/>
      <c r="L415" s="45"/>
      <c r="M415" s="46">
        <v>107520.17</v>
      </c>
    </row>
    <row r="416" spans="1:13" ht="15.75" customHeight="1" x14ac:dyDescent="0.2">
      <c r="A416" s="47" t="s">
        <v>885</v>
      </c>
      <c r="B416" s="48" t="s">
        <v>886</v>
      </c>
      <c r="C416" s="47" t="s">
        <v>75</v>
      </c>
      <c r="D416" s="49" t="s">
        <v>454</v>
      </c>
      <c r="E416" s="47" t="s">
        <v>17</v>
      </c>
      <c r="F416" s="59" t="s">
        <v>47</v>
      </c>
      <c r="G416" s="43" t="s">
        <v>19</v>
      </c>
      <c r="H416" s="47"/>
      <c r="I416" s="44" t="str">
        <f t="shared" si="6"/>
        <v/>
      </c>
      <c r="J416" s="47"/>
      <c r="L416" s="55"/>
      <c r="M416" s="56">
        <v>107168</v>
      </c>
    </row>
    <row r="417" spans="1:13" ht="15.75" customHeight="1" x14ac:dyDescent="0.2">
      <c r="A417" s="47" t="s">
        <v>887</v>
      </c>
      <c r="B417" s="48" t="s">
        <v>888</v>
      </c>
      <c r="C417" s="47" t="s">
        <v>273</v>
      </c>
      <c r="D417" s="49" t="s">
        <v>37</v>
      </c>
      <c r="E417" s="47" t="s">
        <v>17</v>
      </c>
      <c r="F417" s="59" t="s">
        <v>47</v>
      </c>
      <c r="G417" s="43" t="s">
        <v>19</v>
      </c>
      <c r="H417" s="47"/>
      <c r="I417" s="44" t="str">
        <f t="shared" si="6"/>
        <v/>
      </c>
      <c r="J417" s="47"/>
      <c r="L417" s="55"/>
      <c r="M417" s="56">
        <v>106373.47</v>
      </c>
    </row>
    <row r="418" spans="1:13" ht="15.75" customHeight="1" x14ac:dyDescent="0.2">
      <c r="A418" s="39" t="s">
        <v>889</v>
      </c>
      <c r="B418" s="40" t="s">
        <v>890</v>
      </c>
      <c r="C418" s="39" t="s">
        <v>40</v>
      </c>
      <c r="D418" s="41" t="s">
        <v>37</v>
      </c>
      <c r="E418" s="39" t="s">
        <v>17</v>
      </c>
      <c r="F418" s="42" t="s">
        <v>18</v>
      </c>
      <c r="G418" s="43" t="s">
        <v>19</v>
      </c>
      <c r="H418" s="39"/>
      <c r="I418" s="44" t="str">
        <f t="shared" si="6"/>
        <v/>
      </c>
      <c r="J418" s="39"/>
      <c r="L418" s="45"/>
      <c r="M418" s="46">
        <v>105629.73</v>
      </c>
    </row>
    <row r="419" spans="1:13" ht="15.75" customHeight="1" x14ac:dyDescent="0.2">
      <c r="A419" s="39" t="s">
        <v>891</v>
      </c>
      <c r="B419" s="40" t="s">
        <v>494</v>
      </c>
      <c r="C419" s="39" t="s">
        <v>121</v>
      </c>
      <c r="D419" s="41" t="s">
        <v>37</v>
      </c>
      <c r="E419" s="39" t="s">
        <v>17</v>
      </c>
      <c r="F419" s="42" t="s">
        <v>18</v>
      </c>
      <c r="G419" s="43" t="s">
        <v>19</v>
      </c>
      <c r="H419" s="39"/>
      <c r="I419" s="44" t="str">
        <f t="shared" si="6"/>
        <v/>
      </c>
      <c r="J419" s="39"/>
      <c r="L419" s="45"/>
      <c r="M419" s="46">
        <v>105035.72</v>
      </c>
    </row>
    <row r="420" spans="1:13" ht="15.75" customHeight="1" x14ac:dyDescent="0.2">
      <c r="A420" s="39" t="s">
        <v>892</v>
      </c>
      <c r="B420" s="40" t="s">
        <v>893</v>
      </c>
      <c r="C420" s="39" t="s">
        <v>121</v>
      </c>
      <c r="D420" s="41" t="s">
        <v>37</v>
      </c>
      <c r="E420" s="39" t="s">
        <v>17</v>
      </c>
      <c r="F420" s="58" t="s">
        <v>47</v>
      </c>
      <c r="G420" s="43" t="s">
        <v>19</v>
      </c>
      <c r="H420" s="39"/>
      <c r="I420" s="44" t="str">
        <f t="shared" si="6"/>
        <v/>
      </c>
      <c r="J420" s="39"/>
      <c r="L420" s="45"/>
      <c r="M420" s="46">
        <v>103985.53</v>
      </c>
    </row>
    <row r="421" spans="1:13" ht="15.75" customHeight="1" x14ac:dyDescent="0.2">
      <c r="A421" s="47" t="s">
        <v>894</v>
      </c>
      <c r="B421" s="48" t="s">
        <v>895</v>
      </c>
      <c r="C421" s="47" t="s">
        <v>138</v>
      </c>
      <c r="D421" s="49" t="s">
        <v>174</v>
      </c>
      <c r="E421" s="47" t="s">
        <v>17</v>
      </c>
      <c r="F421" s="57" t="s">
        <v>18</v>
      </c>
      <c r="G421" s="43" t="s">
        <v>19</v>
      </c>
      <c r="H421" s="47"/>
      <c r="I421" s="44" t="str">
        <f t="shared" si="6"/>
        <v/>
      </c>
      <c r="J421" s="47"/>
      <c r="L421" s="55"/>
      <c r="M421" s="56">
        <v>100414.96</v>
      </c>
    </row>
    <row r="422" spans="1:13" ht="15.75" customHeight="1" x14ac:dyDescent="0.2">
      <c r="A422" s="39" t="s">
        <v>896</v>
      </c>
      <c r="B422" s="40" t="s">
        <v>897</v>
      </c>
      <c r="C422" s="39" t="s">
        <v>121</v>
      </c>
      <c r="D422" s="41" t="s">
        <v>37</v>
      </c>
      <c r="E422" s="39" t="s">
        <v>17</v>
      </c>
      <c r="F422" s="58" t="s">
        <v>47</v>
      </c>
      <c r="G422" s="43" t="s">
        <v>19</v>
      </c>
      <c r="H422" s="39"/>
      <c r="I422" s="44" t="str">
        <f t="shared" si="6"/>
        <v/>
      </c>
      <c r="J422" s="39"/>
      <c r="L422" s="45"/>
      <c r="M422" s="46">
        <v>99516.86</v>
      </c>
    </row>
    <row r="423" spans="1:13" ht="15.75" customHeight="1" x14ac:dyDescent="0.2">
      <c r="A423" s="39" t="s">
        <v>898</v>
      </c>
      <c r="B423" s="40" t="s">
        <v>899</v>
      </c>
      <c r="C423" s="39" t="s">
        <v>50</v>
      </c>
      <c r="D423" s="41" t="s">
        <v>51</v>
      </c>
      <c r="E423" s="39" t="s">
        <v>17</v>
      </c>
      <c r="F423" s="58" t="s">
        <v>47</v>
      </c>
      <c r="G423" s="43" t="s">
        <v>19</v>
      </c>
      <c r="H423" s="39"/>
      <c r="I423" s="44" t="str">
        <f t="shared" si="6"/>
        <v/>
      </c>
      <c r="J423" s="39"/>
      <c r="L423" s="45"/>
      <c r="M423" s="46">
        <v>98430.7</v>
      </c>
    </row>
    <row r="424" spans="1:13" ht="15.75" customHeight="1" x14ac:dyDescent="0.2">
      <c r="A424" s="39" t="s">
        <v>900</v>
      </c>
      <c r="B424" s="40" t="s">
        <v>901</v>
      </c>
      <c r="C424" s="39" t="s">
        <v>273</v>
      </c>
      <c r="D424" s="41" t="s">
        <v>37</v>
      </c>
      <c r="E424" s="39" t="s">
        <v>17</v>
      </c>
      <c r="F424" s="58" t="s">
        <v>47</v>
      </c>
      <c r="G424" s="43" t="s">
        <v>19</v>
      </c>
      <c r="H424" s="39"/>
      <c r="I424" s="44" t="str">
        <f t="shared" si="6"/>
        <v/>
      </c>
      <c r="J424" s="39"/>
      <c r="L424" s="45"/>
      <c r="M424" s="46">
        <v>98081.93</v>
      </c>
    </row>
    <row r="425" spans="1:13" ht="15.75" customHeight="1" x14ac:dyDescent="0.2">
      <c r="A425" s="39" t="s">
        <v>902</v>
      </c>
      <c r="B425" s="40" t="s">
        <v>903</v>
      </c>
      <c r="C425" s="39" t="s">
        <v>54</v>
      </c>
      <c r="D425" s="41" t="s">
        <v>126</v>
      </c>
      <c r="E425" s="39" t="s">
        <v>17</v>
      </c>
      <c r="F425" s="42" t="s">
        <v>18</v>
      </c>
      <c r="G425" s="43" t="s">
        <v>19</v>
      </c>
      <c r="H425" s="39"/>
      <c r="I425" s="44" t="str">
        <f t="shared" si="6"/>
        <v/>
      </c>
      <c r="J425" s="39"/>
      <c r="L425" s="45"/>
      <c r="M425" s="46">
        <v>97806.3</v>
      </c>
    </row>
    <row r="426" spans="1:13" ht="15.75" customHeight="1" x14ac:dyDescent="0.2">
      <c r="A426" s="39" t="s">
        <v>904</v>
      </c>
      <c r="B426" s="40" t="s">
        <v>905</v>
      </c>
      <c r="C426" s="39" t="s">
        <v>138</v>
      </c>
      <c r="D426" s="41" t="s">
        <v>37</v>
      </c>
      <c r="E426" s="39" t="s">
        <v>17</v>
      </c>
      <c r="F426" s="42" t="s">
        <v>18</v>
      </c>
      <c r="G426" s="43" t="s">
        <v>19</v>
      </c>
      <c r="H426" s="39"/>
      <c r="I426" s="44" t="str">
        <f t="shared" si="6"/>
        <v/>
      </c>
      <c r="J426" s="39"/>
      <c r="L426" s="45"/>
      <c r="M426" s="46">
        <v>96112.46</v>
      </c>
    </row>
    <row r="427" spans="1:13" ht="15.75" customHeight="1" x14ac:dyDescent="0.2">
      <c r="A427" s="39" t="s">
        <v>906</v>
      </c>
      <c r="B427" s="40" t="s">
        <v>907</v>
      </c>
      <c r="C427" s="39" t="s">
        <v>121</v>
      </c>
      <c r="D427" s="41" t="s">
        <v>37</v>
      </c>
      <c r="E427" s="39" t="s">
        <v>17</v>
      </c>
      <c r="F427" s="58" t="s">
        <v>47</v>
      </c>
      <c r="G427" s="43" t="s">
        <v>19</v>
      </c>
      <c r="H427" s="39"/>
      <c r="I427" s="44" t="str">
        <f t="shared" si="6"/>
        <v/>
      </c>
      <c r="J427" s="39"/>
      <c r="L427" s="45"/>
      <c r="M427" s="46">
        <v>95503.67</v>
      </c>
    </row>
    <row r="428" spans="1:13" ht="15.75" customHeight="1" x14ac:dyDescent="0.2">
      <c r="A428" s="47" t="s">
        <v>908</v>
      </c>
      <c r="B428" s="48" t="s">
        <v>909</v>
      </c>
      <c r="C428" s="47" t="s">
        <v>36</v>
      </c>
      <c r="D428" s="49" t="s">
        <v>37</v>
      </c>
      <c r="E428" s="47" t="s">
        <v>17</v>
      </c>
      <c r="F428" s="59" t="s">
        <v>47</v>
      </c>
      <c r="G428" s="43" t="s">
        <v>19</v>
      </c>
      <c r="H428" s="47"/>
      <c r="I428" s="44" t="str">
        <f t="shared" si="6"/>
        <v/>
      </c>
      <c r="J428" s="47"/>
      <c r="L428" s="55"/>
      <c r="M428" s="56">
        <v>88119.44</v>
      </c>
    </row>
    <row r="429" spans="1:13" ht="15.75" customHeight="1" x14ac:dyDescent="0.2">
      <c r="A429" s="47" t="s">
        <v>910</v>
      </c>
      <c r="B429" s="48" t="s">
        <v>911</v>
      </c>
      <c r="C429" s="47" t="s">
        <v>80</v>
      </c>
      <c r="D429" s="49" t="s">
        <v>37</v>
      </c>
      <c r="E429" s="47" t="s">
        <v>17</v>
      </c>
      <c r="F429" s="59" t="s">
        <v>47</v>
      </c>
      <c r="G429" s="43" t="s">
        <v>19</v>
      </c>
      <c r="H429" s="47"/>
      <c r="I429" s="44" t="str">
        <f t="shared" si="6"/>
        <v/>
      </c>
      <c r="J429" s="47"/>
      <c r="L429" s="55"/>
      <c r="M429" s="56">
        <v>87933.36</v>
      </c>
    </row>
    <row r="430" spans="1:13" ht="15.75" customHeight="1" x14ac:dyDescent="0.2">
      <c r="A430" s="47" t="s">
        <v>912</v>
      </c>
      <c r="B430" s="48" t="s">
        <v>913</v>
      </c>
      <c r="C430" s="47" t="s">
        <v>121</v>
      </c>
      <c r="D430" s="49" t="s">
        <v>37</v>
      </c>
      <c r="E430" s="47" t="s">
        <v>17</v>
      </c>
      <c r="F430" s="59" t="s">
        <v>47</v>
      </c>
      <c r="G430" s="43" t="s">
        <v>19</v>
      </c>
      <c r="H430" s="47"/>
      <c r="I430" s="44" t="str">
        <f t="shared" si="6"/>
        <v/>
      </c>
      <c r="J430" s="47"/>
      <c r="L430" s="55"/>
      <c r="M430" s="56">
        <v>59719.040000000001</v>
      </c>
    </row>
    <row r="431" spans="1:13" ht="15.75" customHeight="1" x14ac:dyDescent="0.2">
      <c r="A431" s="47" t="s">
        <v>914</v>
      </c>
      <c r="B431" s="48" t="s">
        <v>915</v>
      </c>
      <c r="C431" s="47" t="s">
        <v>62</v>
      </c>
      <c r="D431" s="49" t="s">
        <v>37</v>
      </c>
      <c r="E431" s="47" t="s">
        <v>17</v>
      </c>
      <c r="F431" s="59" t="s">
        <v>47</v>
      </c>
      <c r="G431" s="43" t="s">
        <v>19</v>
      </c>
      <c r="H431" s="47"/>
      <c r="I431" s="44" t="str">
        <f t="shared" si="6"/>
        <v/>
      </c>
      <c r="J431" s="47"/>
      <c r="L431" s="55"/>
      <c r="M431" s="56">
        <v>49846.38</v>
      </c>
    </row>
    <row r="432" spans="1:13" ht="15.75" customHeight="1" x14ac:dyDescent="0.2">
      <c r="A432" s="39" t="s">
        <v>916</v>
      </c>
      <c r="B432" s="40" t="s">
        <v>917</v>
      </c>
      <c r="C432" s="39" t="s">
        <v>242</v>
      </c>
      <c r="D432" s="41" t="s">
        <v>37</v>
      </c>
      <c r="E432" s="39" t="s">
        <v>17</v>
      </c>
      <c r="F432" s="58" t="s">
        <v>47</v>
      </c>
      <c r="G432" s="43" t="s">
        <v>19</v>
      </c>
      <c r="H432" s="39"/>
      <c r="I432" s="44" t="str">
        <f t="shared" si="6"/>
        <v/>
      </c>
      <c r="J432" s="39"/>
      <c r="L432" s="45"/>
      <c r="M432" s="46">
        <v>49165.55</v>
      </c>
    </row>
    <row r="433" spans="1:13" ht="15.75" customHeight="1" x14ac:dyDescent="0.2">
      <c r="A433" s="39" t="s">
        <v>918</v>
      </c>
      <c r="B433" s="40" t="s">
        <v>919</v>
      </c>
      <c r="C433" s="39" t="s">
        <v>242</v>
      </c>
      <c r="D433" s="41" t="s">
        <v>37</v>
      </c>
      <c r="E433" s="39" t="s">
        <v>17</v>
      </c>
      <c r="F433" s="58" t="s">
        <v>47</v>
      </c>
      <c r="G433" s="43" t="s">
        <v>19</v>
      </c>
      <c r="H433" s="39"/>
      <c r="I433" s="44" t="str">
        <f t="shared" si="6"/>
        <v/>
      </c>
      <c r="J433" s="39"/>
      <c r="L433" s="45"/>
      <c r="M433" s="46">
        <v>47341.74</v>
      </c>
    </row>
    <row r="434" spans="1:13" ht="15.75" customHeight="1" x14ac:dyDescent="0.2">
      <c r="A434" s="39" t="s">
        <v>920</v>
      </c>
      <c r="B434" s="40" t="s">
        <v>921</v>
      </c>
      <c r="C434" s="39" t="s">
        <v>92</v>
      </c>
      <c r="D434" s="41" t="s">
        <v>114</v>
      </c>
      <c r="E434" s="39" t="s">
        <v>17</v>
      </c>
      <c r="F434" s="58" t="s">
        <v>47</v>
      </c>
      <c r="G434" s="43" t="s">
        <v>19</v>
      </c>
      <c r="H434" s="39"/>
      <c r="I434" s="44" t="str">
        <f t="shared" si="6"/>
        <v/>
      </c>
      <c r="J434" s="39"/>
      <c r="L434" s="45"/>
      <c r="M434" s="62"/>
    </row>
    <row r="435" spans="1:13" ht="15.75" customHeight="1" x14ac:dyDescent="0.2">
      <c r="A435" s="39" t="s">
        <v>922</v>
      </c>
      <c r="B435" s="40" t="s">
        <v>923</v>
      </c>
      <c r="C435" s="39" t="s">
        <v>36</v>
      </c>
      <c r="D435" s="41" t="s">
        <v>37</v>
      </c>
      <c r="E435" s="39" t="s">
        <v>17</v>
      </c>
      <c r="F435" s="42" t="s">
        <v>18</v>
      </c>
      <c r="G435" s="43" t="s">
        <v>19</v>
      </c>
      <c r="H435" s="39"/>
      <c r="I435" s="44" t="str">
        <f t="shared" si="6"/>
        <v/>
      </c>
      <c r="J435" s="39"/>
      <c r="L435" s="45"/>
      <c r="M435" s="62"/>
    </row>
    <row r="436" spans="1:13" ht="15.75" customHeight="1" x14ac:dyDescent="0.2">
      <c r="A436" s="47" t="s">
        <v>924</v>
      </c>
      <c r="B436" s="48" t="s">
        <v>925</v>
      </c>
      <c r="C436" s="47" t="s">
        <v>121</v>
      </c>
      <c r="D436" s="49" t="s">
        <v>37</v>
      </c>
      <c r="E436" s="47" t="s">
        <v>17</v>
      </c>
      <c r="F436" s="59" t="s">
        <v>47</v>
      </c>
      <c r="G436" s="43" t="s">
        <v>19</v>
      </c>
      <c r="H436" s="47"/>
      <c r="I436" s="44" t="str">
        <f t="shared" si="6"/>
        <v/>
      </c>
      <c r="J436" s="47"/>
      <c r="L436" s="55"/>
      <c r="M436" s="63"/>
    </row>
    <row r="437" spans="1:13" ht="15.75" customHeight="1" x14ac:dyDescent="0.2">
      <c r="A437" s="47" t="s">
        <v>926</v>
      </c>
      <c r="B437" s="48" t="s">
        <v>927</v>
      </c>
      <c r="C437" s="47" t="s">
        <v>32</v>
      </c>
      <c r="D437" s="49" t="s">
        <v>114</v>
      </c>
      <c r="E437" s="47" t="s">
        <v>17</v>
      </c>
      <c r="F437" s="59" t="s">
        <v>47</v>
      </c>
      <c r="G437" s="43" t="s">
        <v>19</v>
      </c>
      <c r="H437" s="47"/>
      <c r="I437" s="44" t="str">
        <f t="shared" si="6"/>
        <v/>
      </c>
      <c r="J437" s="47"/>
      <c r="L437" s="55"/>
      <c r="M437" s="63"/>
    </row>
    <row r="438" spans="1:13" ht="15.75" customHeight="1" x14ac:dyDescent="0.2">
      <c r="A438" s="39" t="s">
        <v>928</v>
      </c>
      <c r="B438" s="40" t="s">
        <v>929</v>
      </c>
      <c r="C438" s="39" t="s">
        <v>32</v>
      </c>
      <c r="D438" s="41" t="s">
        <v>135</v>
      </c>
      <c r="E438" s="39" t="s">
        <v>17</v>
      </c>
      <c r="F438" s="58" t="s">
        <v>47</v>
      </c>
      <c r="G438" s="43" t="s">
        <v>19</v>
      </c>
      <c r="H438" s="39"/>
      <c r="I438" s="44" t="str">
        <f t="shared" si="6"/>
        <v/>
      </c>
      <c r="J438" s="39"/>
      <c r="L438" s="45"/>
      <c r="M438" s="62"/>
    </row>
    <row r="439" spans="1:13" ht="15.75" customHeight="1" x14ac:dyDescent="0.2">
      <c r="A439" s="39" t="s">
        <v>930</v>
      </c>
      <c r="B439" s="40" t="s">
        <v>931</v>
      </c>
      <c r="C439" s="39" t="s">
        <v>138</v>
      </c>
      <c r="D439" s="41" t="s">
        <v>126</v>
      </c>
      <c r="E439" s="39" t="s">
        <v>17</v>
      </c>
      <c r="F439" s="58" t="s">
        <v>47</v>
      </c>
      <c r="G439" s="43" t="s">
        <v>19</v>
      </c>
      <c r="H439" s="39"/>
      <c r="I439" s="44" t="str">
        <f t="shared" si="6"/>
        <v/>
      </c>
      <c r="J439" s="39"/>
      <c r="L439" s="45"/>
      <c r="M439" s="62"/>
    </row>
    <row r="440" spans="1:13" ht="15.75" customHeight="1" x14ac:dyDescent="0.2">
      <c r="A440" s="47" t="s">
        <v>932</v>
      </c>
      <c r="B440" s="48" t="s">
        <v>933</v>
      </c>
      <c r="C440" s="47" t="s">
        <v>32</v>
      </c>
      <c r="D440" s="49" t="s">
        <v>114</v>
      </c>
      <c r="E440" s="47" t="s">
        <v>17</v>
      </c>
      <c r="F440" s="57" t="s">
        <v>18</v>
      </c>
      <c r="G440" s="43" t="s">
        <v>19</v>
      </c>
      <c r="H440" s="47"/>
      <c r="I440" s="44" t="str">
        <f t="shared" si="6"/>
        <v/>
      </c>
      <c r="J440" s="47"/>
      <c r="L440" s="55"/>
      <c r="M440" s="63"/>
    </row>
    <row r="441" spans="1:13" ht="15.75" customHeight="1" x14ac:dyDescent="0.2">
      <c r="A441" s="47" t="s">
        <v>934</v>
      </c>
      <c r="B441" s="48" t="s">
        <v>935</v>
      </c>
      <c r="C441" s="47" t="s">
        <v>28</v>
      </c>
      <c r="D441" s="49" t="s">
        <v>33</v>
      </c>
      <c r="E441" s="47" t="s">
        <v>17</v>
      </c>
      <c r="F441" s="59" t="s">
        <v>47</v>
      </c>
      <c r="G441" s="43" t="s">
        <v>19</v>
      </c>
      <c r="H441" s="47"/>
      <c r="I441" s="44" t="str">
        <f t="shared" si="6"/>
        <v/>
      </c>
      <c r="J441" s="47"/>
      <c r="L441" s="55"/>
      <c r="M441" s="63"/>
    </row>
    <row r="442" spans="1:13" ht="15.75" customHeight="1" x14ac:dyDescent="0.2">
      <c r="A442" s="47" t="s">
        <v>936</v>
      </c>
      <c r="B442" s="48" t="s">
        <v>937</v>
      </c>
      <c r="C442" s="47" t="s">
        <v>233</v>
      </c>
      <c r="D442" s="49" t="s">
        <v>37</v>
      </c>
      <c r="E442" s="47" t="s">
        <v>17</v>
      </c>
      <c r="F442" s="59" t="s">
        <v>47</v>
      </c>
      <c r="G442" s="43" t="s">
        <v>19</v>
      </c>
      <c r="H442" s="47"/>
      <c r="I442" s="44" t="str">
        <f t="shared" si="6"/>
        <v/>
      </c>
      <c r="J442" s="47"/>
      <c r="L442" s="55"/>
      <c r="M442" s="63"/>
    </row>
    <row r="443" spans="1:13" ht="15.75" customHeight="1" x14ac:dyDescent="0.2">
      <c r="A443" s="39" t="s">
        <v>938</v>
      </c>
      <c r="B443" s="40" t="s">
        <v>939</v>
      </c>
      <c r="C443" s="39" t="s">
        <v>15</v>
      </c>
      <c r="D443" s="41" t="s">
        <v>83</v>
      </c>
      <c r="E443" s="39" t="s">
        <v>17</v>
      </c>
      <c r="F443" s="42" t="s">
        <v>18</v>
      </c>
      <c r="G443" s="43" t="s">
        <v>19</v>
      </c>
      <c r="H443" s="39"/>
      <c r="I443" s="44" t="str">
        <f t="shared" si="6"/>
        <v/>
      </c>
      <c r="J443" s="39"/>
      <c r="L443" s="45"/>
      <c r="M443" s="62"/>
    </row>
    <row r="444" spans="1:13" ht="15.75" customHeight="1" x14ac:dyDescent="0.2">
      <c r="A444" s="39" t="s">
        <v>940</v>
      </c>
      <c r="B444" s="40" t="s">
        <v>941</v>
      </c>
      <c r="C444" s="39" t="s">
        <v>32</v>
      </c>
      <c r="D444" s="41" t="s">
        <v>332</v>
      </c>
      <c r="E444" s="39" t="s">
        <v>109</v>
      </c>
      <c r="F444" s="58" t="s">
        <v>47</v>
      </c>
      <c r="G444" s="43" t="s">
        <v>19</v>
      </c>
      <c r="H444" s="39"/>
      <c r="I444" s="44" t="str">
        <f t="shared" si="6"/>
        <v/>
      </c>
      <c r="J444" s="39"/>
      <c r="L444" s="45"/>
      <c r="M444" s="62"/>
    </row>
    <row r="445" spans="1:13" ht="15" customHeight="1" x14ac:dyDescent="0.2">
      <c r="A445" s="47"/>
      <c r="B445" s="48" t="s">
        <v>942</v>
      </c>
      <c r="C445" s="47"/>
      <c r="D445" s="49"/>
      <c r="E445" s="47"/>
      <c r="F445" s="59"/>
      <c r="G445" s="64" t="s">
        <v>943</v>
      </c>
      <c r="H445" s="52">
        <v>46125</v>
      </c>
      <c r="I445" s="44">
        <f t="shared" si="6"/>
        <v>46134</v>
      </c>
      <c r="J445" s="53">
        <v>46128</v>
      </c>
      <c r="K445" s="65" t="s">
        <v>944</v>
      </c>
      <c r="L445" s="55"/>
      <c r="M445" s="56"/>
    </row>
    <row r="446" spans="1:13" ht="15" customHeight="1" x14ac:dyDescent="0.2">
      <c r="A446" s="47"/>
      <c r="B446" s="48" t="s">
        <v>945</v>
      </c>
      <c r="C446" s="47"/>
      <c r="D446" s="49"/>
      <c r="E446" s="47"/>
      <c r="F446" s="59"/>
      <c r="G446" s="43"/>
      <c r="H446" s="52">
        <v>46125</v>
      </c>
      <c r="I446" s="44">
        <f t="shared" si="6"/>
        <v>46134</v>
      </c>
      <c r="J446" s="47"/>
      <c r="L446" s="55"/>
      <c r="M446" s="56"/>
    </row>
    <row r="447" spans="1:13" ht="15" customHeight="1" x14ac:dyDescent="0.2">
      <c r="A447" s="47"/>
      <c r="B447" s="48" t="s">
        <v>946</v>
      </c>
      <c r="C447" s="47"/>
      <c r="D447" s="49"/>
      <c r="E447" s="47"/>
      <c r="F447" s="59"/>
      <c r="G447" s="43"/>
      <c r="H447" s="52">
        <v>46125</v>
      </c>
      <c r="I447" s="44">
        <f t="shared" si="6"/>
        <v>46134</v>
      </c>
      <c r="J447" s="47"/>
      <c r="L447" s="55"/>
      <c r="M447" s="56"/>
    </row>
    <row r="448" spans="1:13" ht="15" customHeight="1" x14ac:dyDescent="0.2">
      <c r="A448" s="47"/>
      <c r="B448" s="48" t="s">
        <v>947</v>
      </c>
      <c r="C448" s="47"/>
      <c r="D448" s="49"/>
      <c r="E448" s="47"/>
      <c r="F448" s="59"/>
      <c r="G448" s="51" t="s">
        <v>283</v>
      </c>
      <c r="H448" s="52">
        <v>46125</v>
      </c>
      <c r="I448" s="44">
        <f t="shared" si="6"/>
        <v>46134</v>
      </c>
      <c r="J448" s="53">
        <v>46128</v>
      </c>
      <c r="K448" s="54" t="s">
        <v>948</v>
      </c>
      <c r="L448" s="55"/>
      <c r="M448" s="56"/>
    </row>
    <row r="449" spans="1:13" ht="15" customHeight="1" x14ac:dyDescent="0.2">
      <c r="A449" s="47"/>
      <c r="B449" s="48" t="s">
        <v>949</v>
      </c>
      <c r="C449" s="47"/>
      <c r="D449" s="49"/>
      <c r="E449" s="47"/>
      <c r="F449" s="59"/>
      <c r="G449" s="43"/>
      <c r="H449" s="52">
        <v>46125</v>
      </c>
      <c r="I449" s="44">
        <f t="shared" si="6"/>
        <v>46134</v>
      </c>
      <c r="J449" s="47"/>
      <c r="L449" s="55"/>
      <c r="M449" s="56"/>
    </row>
    <row r="450" spans="1:13" ht="15" customHeight="1" x14ac:dyDescent="0.2">
      <c r="A450" s="47"/>
      <c r="B450" s="48" t="s">
        <v>950</v>
      </c>
      <c r="C450" s="47"/>
      <c r="D450" s="49"/>
      <c r="E450" s="47"/>
      <c r="F450" s="59"/>
      <c r="G450" s="43"/>
      <c r="H450" s="52">
        <v>46125</v>
      </c>
      <c r="I450" s="44">
        <f t="shared" ref="I450:I456" si="7">IF(H450="","",H450+9)</f>
        <v>46134</v>
      </c>
      <c r="J450" s="47"/>
      <c r="L450" s="55"/>
      <c r="M450" s="56"/>
    </row>
    <row r="451" spans="1:13" ht="15" customHeight="1" x14ac:dyDescent="0.2">
      <c r="A451" s="47"/>
      <c r="B451" s="48" t="s">
        <v>951</v>
      </c>
      <c r="C451" s="47"/>
      <c r="D451" s="49"/>
      <c r="E451" s="47"/>
      <c r="F451" s="59"/>
      <c r="G451" s="43"/>
      <c r="H451" s="52">
        <v>46125</v>
      </c>
      <c r="I451" s="44">
        <f t="shared" si="7"/>
        <v>46134</v>
      </c>
      <c r="J451" s="47"/>
      <c r="L451" s="55"/>
      <c r="M451" s="56"/>
    </row>
    <row r="452" spans="1:13" ht="15" customHeight="1" x14ac:dyDescent="0.2">
      <c r="A452" s="47"/>
      <c r="B452" s="48" t="s">
        <v>952</v>
      </c>
      <c r="C452" s="47"/>
      <c r="D452" s="49"/>
      <c r="E452" s="47"/>
      <c r="F452" s="59"/>
      <c r="G452" s="43"/>
      <c r="H452" s="52">
        <v>46125</v>
      </c>
      <c r="I452" s="44">
        <f t="shared" si="7"/>
        <v>46134</v>
      </c>
      <c r="J452" s="47"/>
      <c r="L452" s="55"/>
      <c r="M452" s="56"/>
    </row>
    <row r="453" spans="1:13" ht="15" customHeight="1" x14ac:dyDescent="0.2">
      <c r="A453" s="47"/>
      <c r="B453" s="48" t="s">
        <v>953</v>
      </c>
      <c r="C453" s="47"/>
      <c r="D453" s="49"/>
      <c r="E453" s="47"/>
      <c r="F453" s="59"/>
      <c r="G453" s="64" t="s">
        <v>943</v>
      </c>
      <c r="H453" s="52">
        <v>46125</v>
      </c>
      <c r="I453" s="44">
        <f t="shared" si="7"/>
        <v>46134</v>
      </c>
      <c r="J453" s="53">
        <v>46128</v>
      </c>
      <c r="K453" s="65" t="s">
        <v>954</v>
      </c>
      <c r="L453" s="55"/>
      <c r="M453" s="56"/>
    </row>
    <row r="454" spans="1:13" ht="15" customHeight="1" x14ac:dyDescent="0.2">
      <c r="A454" s="47"/>
      <c r="B454" s="48" t="s">
        <v>955</v>
      </c>
      <c r="C454" s="47"/>
      <c r="D454" s="49"/>
      <c r="E454" s="47"/>
      <c r="F454" s="59"/>
      <c r="G454" s="51" t="s">
        <v>283</v>
      </c>
      <c r="H454" s="52">
        <v>46125</v>
      </c>
      <c r="I454" s="44">
        <f t="shared" si="7"/>
        <v>46134</v>
      </c>
      <c r="J454" s="53">
        <v>46128</v>
      </c>
      <c r="K454" s="54" t="s">
        <v>956</v>
      </c>
      <c r="L454" s="55"/>
      <c r="M454" s="56"/>
    </row>
    <row r="455" spans="1:13" ht="15" customHeight="1" x14ac:dyDescent="0.2">
      <c r="A455" s="47"/>
      <c r="B455" s="48" t="s">
        <v>957</v>
      </c>
      <c r="C455" s="47"/>
      <c r="D455" s="49"/>
      <c r="E455" s="47"/>
      <c r="F455" s="59"/>
      <c r="G455" s="64" t="s">
        <v>943</v>
      </c>
      <c r="H455" s="52">
        <v>46125</v>
      </c>
      <c r="I455" s="44">
        <f t="shared" si="7"/>
        <v>46134</v>
      </c>
      <c r="J455" s="53">
        <v>46128</v>
      </c>
      <c r="K455" s="65" t="s">
        <v>958</v>
      </c>
      <c r="L455" s="55"/>
      <c r="M455" s="56"/>
    </row>
    <row r="456" spans="1:13" ht="15" customHeight="1" x14ac:dyDescent="0.2">
      <c r="A456" s="47"/>
      <c r="B456" s="48" t="s">
        <v>959</v>
      </c>
      <c r="C456" s="47"/>
      <c r="D456" s="49"/>
      <c r="E456" s="47"/>
      <c r="F456" s="59"/>
      <c r="G456" s="43"/>
      <c r="H456" s="52">
        <v>46125</v>
      </c>
      <c r="I456" s="44">
        <f t="shared" si="7"/>
        <v>46134</v>
      </c>
      <c r="J456" s="47"/>
      <c r="L456" s="55"/>
      <c r="M456" s="56"/>
    </row>
  </sheetData>
  <autoFilter ref="A1:L1" xr:uid="{00000000-0009-0000-0000-000001000000}"/>
  <dataValidations count="1">
    <dataValidation type="list" allowBlank="1" sqref="G2:G444" xr:uid="{00000000-0002-0000-0100-000000000000}">
      <formula1>"Not Started,Sent,Follow-Up Needed,Responded,Fulfilled,Denied,N/A on OPRAmachine"</formula1>
      <formula2>0</formula2>
    </dataValidation>
  </dataValidations>
  <hyperlinks>
    <hyperlink ref="F2" r:id="rId1" xr:uid="{00000000-0004-0000-0100-000000000000}"/>
    <hyperlink ref="F3" r:id="rId2" display="https://opramachine.com/new/trenton_board_of_education"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1" r:id="rId9" xr:uid="{00000000-0004-0000-0100-000008000000}"/>
    <hyperlink ref="F12" r:id="rId10" xr:uid="{00000000-0004-0000-0100-000009000000}"/>
    <hyperlink ref="F13" r:id="rId11" xr:uid="{00000000-0004-0000-0100-00000A000000}"/>
    <hyperlink ref="F14" r:id="rId12" xr:uid="{00000000-0004-0000-0100-00000B000000}"/>
    <hyperlink ref="F15" r:id="rId13" xr:uid="{00000000-0004-0000-0100-00000C000000}"/>
    <hyperlink ref="F16" r:id="rId14" xr:uid="{00000000-0004-0000-0100-00000D000000}"/>
    <hyperlink ref="F17" r:id="rId15" xr:uid="{00000000-0004-0000-0100-00000E000000}"/>
    <hyperlink ref="F18" r:id="rId16" xr:uid="{00000000-0004-0000-0100-00000F000000}"/>
    <hyperlink ref="F19" r:id="rId17" xr:uid="{00000000-0004-0000-0100-000010000000}"/>
    <hyperlink ref="F20" r:id="rId18" xr:uid="{00000000-0004-0000-0100-000011000000}"/>
    <hyperlink ref="F21" r:id="rId19" xr:uid="{00000000-0004-0000-0100-000012000000}"/>
    <hyperlink ref="F22" r:id="rId20" xr:uid="{00000000-0004-0000-0100-000013000000}"/>
    <hyperlink ref="F23" r:id="rId21" xr:uid="{00000000-0004-0000-0100-000014000000}"/>
    <hyperlink ref="F25" r:id="rId22" xr:uid="{00000000-0004-0000-0100-000015000000}"/>
    <hyperlink ref="F26" r:id="rId23" xr:uid="{00000000-0004-0000-0100-000016000000}"/>
    <hyperlink ref="F28" r:id="rId24" xr:uid="{00000000-0004-0000-0100-000017000000}"/>
    <hyperlink ref="F29" r:id="rId25" xr:uid="{00000000-0004-0000-0100-000018000000}"/>
    <hyperlink ref="F33" r:id="rId26" xr:uid="{00000000-0004-0000-0100-000019000000}"/>
    <hyperlink ref="F34" r:id="rId27" xr:uid="{00000000-0004-0000-0100-00001A000000}"/>
    <hyperlink ref="F41" r:id="rId28" xr:uid="{00000000-0004-0000-0100-00001B000000}"/>
    <hyperlink ref="F42" r:id="rId29" xr:uid="{00000000-0004-0000-0100-00001C000000}"/>
    <hyperlink ref="F45" r:id="rId30" xr:uid="{00000000-0004-0000-0100-00001D000000}"/>
    <hyperlink ref="F49" r:id="rId31" xr:uid="{00000000-0004-0000-0100-00001E000000}"/>
    <hyperlink ref="F51" r:id="rId32" xr:uid="{00000000-0004-0000-0100-00001F000000}"/>
    <hyperlink ref="F53" r:id="rId33" xr:uid="{00000000-0004-0000-0100-000020000000}"/>
    <hyperlink ref="F58" r:id="rId34" xr:uid="{00000000-0004-0000-0100-000021000000}"/>
    <hyperlink ref="F61" r:id="rId35" xr:uid="{00000000-0004-0000-0100-000022000000}"/>
    <hyperlink ref="F63" r:id="rId36" xr:uid="{00000000-0004-0000-0100-000023000000}"/>
    <hyperlink ref="F64" r:id="rId37" xr:uid="{00000000-0004-0000-0100-000024000000}"/>
    <hyperlink ref="F67" r:id="rId38" xr:uid="{00000000-0004-0000-0100-000025000000}"/>
    <hyperlink ref="F70" r:id="rId39" xr:uid="{00000000-0004-0000-0100-000026000000}"/>
    <hyperlink ref="F71" r:id="rId40" xr:uid="{00000000-0004-0000-0100-000027000000}"/>
    <hyperlink ref="F72" r:id="rId41" xr:uid="{00000000-0004-0000-0100-000028000000}"/>
    <hyperlink ref="F75" r:id="rId42" xr:uid="{00000000-0004-0000-0100-000029000000}"/>
    <hyperlink ref="F79" r:id="rId43" xr:uid="{00000000-0004-0000-0100-00002A000000}"/>
    <hyperlink ref="F84" r:id="rId44" xr:uid="{00000000-0004-0000-0100-00002B000000}"/>
    <hyperlink ref="F85" r:id="rId45" xr:uid="{00000000-0004-0000-0100-00002C000000}"/>
    <hyperlink ref="F87" r:id="rId46" xr:uid="{00000000-0004-0000-0100-00002D000000}"/>
    <hyperlink ref="F88" r:id="rId47" xr:uid="{00000000-0004-0000-0100-00002E000000}"/>
    <hyperlink ref="F90" r:id="rId48" xr:uid="{00000000-0004-0000-0100-00002F000000}"/>
    <hyperlink ref="F91" r:id="rId49" xr:uid="{00000000-0004-0000-0100-000030000000}"/>
    <hyperlink ref="F92" r:id="rId50" xr:uid="{00000000-0004-0000-0100-000031000000}"/>
    <hyperlink ref="F96" r:id="rId51" xr:uid="{00000000-0004-0000-0100-000032000000}"/>
    <hyperlink ref="F97" r:id="rId52" xr:uid="{00000000-0004-0000-0100-000033000000}"/>
    <hyperlink ref="F99" r:id="rId53" xr:uid="{00000000-0004-0000-0100-000034000000}"/>
    <hyperlink ref="F101" r:id="rId54" xr:uid="{00000000-0004-0000-0100-000035000000}"/>
    <hyperlink ref="F104" r:id="rId55" xr:uid="{00000000-0004-0000-0100-000036000000}"/>
    <hyperlink ref="F108" r:id="rId56" xr:uid="{00000000-0004-0000-0100-000037000000}"/>
    <hyperlink ref="F109" r:id="rId57" xr:uid="{00000000-0004-0000-0100-000038000000}"/>
    <hyperlink ref="F115" r:id="rId58" xr:uid="{00000000-0004-0000-0100-000039000000}"/>
    <hyperlink ref="F116" r:id="rId59" display="https://opramachine.com/new/freehold_township_board_of_education" xr:uid="{00000000-0004-0000-0100-00003A000000}"/>
    <hyperlink ref="F117" r:id="rId60" xr:uid="{00000000-0004-0000-0100-00003B000000}"/>
    <hyperlink ref="F119" r:id="rId61" xr:uid="{00000000-0004-0000-0100-00003C000000}"/>
    <hyperlink ref="F121" r:id="rId62" xr:uid="{00000000-0004-0000-0100-00003D000000}"/>
    <hyperlink ref="F127" r:id="rId63" xr:uid="{00000000-0004-0000-0100-00003E000000}"/>
    <hyperlink ref="F128" r:id="rId64" xr:uid="{00000000-0004-0000-0100-00003F000000}"/>
    <hyperlink ref="F131" r:id="rId65" xr:uid="{00000000-0004-0000-0100-000040000000}"/>
    <hyperlink ref="F133" r:id="rId66" xr:uid="{00000000-0004-0000-0100-000041000000}"/>
    <hyperlink ref="F135" r:id="rId67" xr:uid="{00000000-0004-0000-0100-000042000000}"/>
    <hyperlink ref="F136" r:id="rId68" display="https://opramachine.com/new/berkeley_township_school_district" xr:uid="{00000000-0004-0000-0100-000043000000}"/>
    <hyperlink ref="F138" r:id="rId69" xr:uid="{00000000-0004-0000-0100-000044000000}"/>
    <hyperlink ref="F139" r:id="rId70" xr:uid="{00000000-0004-0000-0100-000045000000}"/>
    <hyperlink ref="F141" r:id="rId71" xr:uid="{00000000-0004-0000-0100-000046000000}"/>
    <hyperlink ref="F144" r:id="rId72" xr:uid="{00000000-0004-0000-0100-000047000000}"/>
    <hyperlink ref="F146" r:id="rId73" xr:uid="{00000000-0004-0000-0100-000048000000}"/>
    <hyperlink ref="F148" r:id="rId74" xr:uid="{00000000-0004-0000-0100-000049000000}"/>
    <hyperlink ref="F150" r:id="rId75" xr:uid="{00000000-0004-0000-0100-00004A000000}"/>
    <hyperlink ref="F152" r:id="rId76" xr:uid="{00000000-0004-0000-0100-00004B000000}"/>
    <hyperlink ref="F155" r:id="rId77" xr:uid="{00000000-0004-0000-0100-00004C000000}"/>
    <hyperlink ref="F156" r:id="rId78" xr:uid="{00000000-0004-0000-0100-00004D000000}"/>
    <hyperlink ref="F157" r:id="rId79" xr:uid="{00000000-0004-0000-0100-00004E000000}"/>
    <hyperlink ref="F162" r:id="rId80" xr:uid="{00000000-0004-0000-0100-00004F000000}"/>
    <hyperlink ref="F167" r:id="rId81" xr:uid="{00000000-0004-0000-0100-000050000000}"/>
    <hyperlink ref="F168" r:id="rId82" xr:uid="{00000000-0004-0000-0100-000051000000}"/>
    <hyperlink ref="F169" r:id="rId83" xr:uid="{00000000-0004-0000-0100-000052000000}"/>
    <hyperlink ref="F172" r:id="rId84" xr:uid="{00000000-0004-0000-0100-000053000000}"/>
    <hyperlink ref="F173" r:id="rId85" xr:uid="{00000000-0004-0000-0100-000054000000}"/>
    <hyperlink ref="F176" r:id="rId86" xr:uid="{00000000-0004-0000-0100-000055000000}"/>
    <hyperlink ref="F181" r:id="rId87" xr:uid="{00000000-0004-0000-0100-000056000000}"/>
    <hyperlink ref="F182" r:id="rId88" xr:uid="{00000000-0004-0000-0100-000057000000}"/>
    <hyperlink ref="F185" r:id="rId89" xr:uid="{00000000-0004-0000-0100-000058000000}"/>
    <hyperlink ref="F186" r:id="rId90" xr:uid="{00000000-0004-0000-0100-000059000000}"/>
    <hyperlink ref="F191" r:id="rId91" xr:uid="{00000000-0004-0000-0100-00005A000000}"/>
    <hyperlink ref="F192" r:id="rId92" xr:uid="{00000000-0004-0000-0100-00005B000000}"/>
    <hyperlink ref="F193" r:id="rId93" xr:uid="{00000000-0004-0000-0100-00005C000000}"/>
    <hyperlink ref="F195" r:id="rId94" xr:uid="{00000000-0004-0000-0100-00005D000000}"/>
    <hyperlink ref="F196" r:id="rId95" xr:uid="{00000000-0004-0000-0100-00005E000000}"/>
    <hyperlink ref="F202" r:id="rId96" xr:uid="{00000000-0004-0000-0100-00005F000000}"/>
    <hyperlink ref="F203" r:id="rId97" xr:uid="{00000000-0004-0000-0100-000060000000}"/>
    <hyperlink ref="F205" r:id="rId98" xr:uid="{00000000-0004-0000-0100-000061000000}"/>
    <hyperlink ref="F208" r:id="rId99" xr:uid="{00000000-0004-0000-0100-000062000000}"/>
    <hyperlink ref="F211" r:id="rId100" xr:uid="{00000000-0004-0000-0100-000063000000}"/>
    <hyperlink ref="F212" r:id="rId101" xr:uid="{00000000-0004-0000-0100-000064000000}"/>
    <hyperlink ref="F213" r:id="rId102" xr:uid="{00000000-0004-0000-0100-000065000000}"/>
    <hyperlink ref="F214" r:id="rId103" xr:uid="{00000000-0004-0000-0100-000066000000}"/>
    <hyperlink ref="F215" r:id="rId104" xr:uid="{00000000-0004-0000-0100-000067000000}"/>
    <hyperlink ref="F218" r:id="rId105" xr:uid="{00000000-0004-0000-0100-000068000000}"/>
    <hyperlink ref="F219" r:id="rId106" xr:uid="{00000000-0004-0000-0100-000069000000}"/>
    <hyperlink ref="F226" r:id="rId107" xr:uid="{00000000-0004-0000-0100-00006A000000}"/>
    <hyperlink ref="F230" r:id="rId108" xr:uid="{00000000-0004-0000-0100-00006B000000}"/>
    <hyperlink ref="F231" r:id="rId109" xr:uid="{00000000-0004-0000-0100-00006C000000}"/>
    <hyperlink ref="F235" r:id="rId110" xr:uid="{00000000-0004-0000-0100-00006D000000}"/>
    <hyperlink ref="F237" r:id="rId111" xr:uid="{00000000-0004-0000-0100-00006E000000}"/>
    <hyperlink ref="F248" r:id="rId112" xr:uid="{00000000-0004-0000-0100-00006F000000}"/>
    <hyperlink ref="F250" r:id="rId113" xr:uid="{00000000-0004-0000-0100-000070000000}"/>
    <hyperlink ref="F253" r:id="rId114" xr:uid="{00000000-0004-0000-0100-000071000000}"/>
    <hyperlink ref="F255" r:id="rId115" xr:uid="{00000000-0004-0000-0100-000072000000}"/>
    <hyperlink ref="F256" r:id="rId116" xr:uid="{00000000-0004-0000-0100-000073000000}"/>
    <hyperlink ref="F259" r:id="rId117" xr:uid="{00000000-0004-0000-0100-000074000000}"/>
    <hyperlink ref="F260" r:id="rId118" xr:uid="{00000000-0004-0000-0100-000075000000}"/>
    <hyperlink ref="F261" r:id="rId119" xr:uid="{00000000-0004-0000-0100-000076000000}"/>
    <hyperlink ref="F262" r:id="rId120" xr:uid="{00000000-0004-0000-0100-000077000000}"/>
    <hyperlink ref="F263" r:id="rId121" xr:uid="{00000000-0004-0000-0100-000078000000}"/>
    <hyperlink ref="F264" r:id="rId122" xr:uid="{00000000-0004-0000-0100-000079000000}"/>
    <hyperlink ref="F265" r:id="rId123" display="https://opramachine.com/new/plumsted_township_board_of_education" xr:uid="{00000000-0004-0000-0100-00007A000000}"/>
    <hyperlink ref="F271" r:id="rId124" xr:uid="{00000000-0004-0000-0100-00007B000000}"/>
    <hyperlink ref="F278" r:id="rId125" xr:uid="{00000000-0004-0000-0100-00007C000000}"/>
    <hyperlink ref="F279" r:id="rId126" xr:uid="{00000000-0004-0000-0100-00007D000000}"/>
    <hyperlink ref="F282" r:id="rId127" xr:uid="{00000000-0004-0000-0100-00007E000000}"/>
    <hyperlink ref="F288" r:id="rId128" xr:uid="{00000000-0004-0000-0100-00007F000000}"/>
    <hyperlink ref="F294" r:id="rId129" xr:uid="{00000000-0004-0000-0100-000080000000}"/>
    <hyperlink ref="F299" r:id="rId130" xr:uid="{00000000-0004-0000-0100-000081000000}"/>
    <hyperlink ref="F300" r:id="rId131" xr:uid="{00000000-0004-0000-0100-000082000000}"/>
    <hyperlink ref="F301" r:id="rId132" xr:uid="{00000000-0004-0000-0100-000083000000}"/>
    <hyperlink ref="F302" r:id="rId133" xr:uid="{00000000-0004-0000-0100-000084000000}"/>
    <hyperlink ref="F309" r:id="rId134" xr:uid="{00000000-0004-0000-0100-000085000000}"/>
    <hyperlink ref="F310" r:id="rId135" xr:uid="{00000000-0004-0000-0100-000086000000}"/>
    <hyperlink ref="F312" r:id="rId136" xr:uid="{00000000-0004-0000-0100-000087000000}"/>
    <hyperlink ref="F313" r:id="rId137" xr:uid="{00000000-0004-0000-0100-000088000000}"/>
    <hyperlink ref="F317" r:id="rId138" xr:uid="{00000000-0004-0000-0100-000089000000}"/>
    <hyperlink ref="F318" r:id="rId139" xr:uid="{00000000-0004-0000-0100-00008A000000}"/>
    <hyperlink ref="F321" r:id="rId140" xr:uid="{00000000-0004-0000-0100-00008B000000}"/>
    <hyperlink ref="F322" r:id="rId141" xr:uid="{00000000-0004-0000-0100-00008C000000}"/>
    <hyperlink ref="F325" r:id="rId142" xr:uid="{00000000-0004-0000-0100-00008D000000}"/>
    <hyperlink ref="F326" r:id="rId143" xr:uid="{00000000-0004-0000-0100-00008E000000}"/>
    <hyperlink ref="F331" r:id="rId144" xr:uid="{00000000-0004-0000-0100-00008F000000}"/>
    <hyperlink ref="F336" r:id="rId145" xr:uid="{00000000-0004-0000-0100-000090000000}"/>
    <hyperlink ref="F340" r:id="rId146" xr:uid="{00000000-0004-0000-0100-000091000000}"/>
    <hyperlink ref="F341" r:id="rId147" xr:uid="{00000000-0004-0000-0100-000092000000}"/>
    <hyperlink ref="F342" r:id="rId148" xr:uid="{00000000-0004-0000-0100-000093000000}"/>
    <hyperlink ref="F343" r:id="rId149" xr:uid="{00000000-0004-0000-0100-000094000000}"/>
    <hyperlink ref="F347" r:id="rId150" xr:uid="{00000000-0004-0000-0100-000095000000}"/>
    <hyperlink ref="F351" r:id="rId151" xr:uid="{00000000-0004-0000-0100-000096000000}"/>
    <hyperlink ref="F355" r:id="rId152" xr:uid="{00000000-0004-0000-0100-000097000000}"/>
    <hyperlink ref="F357" r:id="rId153" xr:uid="{00000000-0004-0000-0100-000098000000}"/>
    <hyperlink ref="F358" r:id="rId154" xr:uid="{00000000-0004-0000-0100-000099000000}"/>
    <hyperlink ref="F361" r:id="rId155" xr:uid="{00000000-0004-0000-0100-00009A000000}"/>
    <hyperlink ref="F365" r:id="rId156" xr:uid="{00000000-0004-0000-0100-00009B000000}"/>
    <hyperlink ref="F366" r:id="rId157" xr:uid="{00000000-0004-0000-0100-00009C000000}"/>
    <hyperlink ref="F368" r:id="rId158" xr:uid="{00000000-0004-0000-0100-00009D000000}"/>
    <hyperlink ref="F369" r:id="rId159" xr:uid="{00000000-0004-0000-0100-00009E000000}"/>
    <hyperlink ref="F371" r:id="rId160" xr:uid="{00000000-0004-0000-0100-00009F000000}"/>
    <hyperlink ref="F373" r:id="rId161" xr:uid="{00000000-0004-0000-0100-0000A0000000}"/>
    <hyperlink ref="F375" r:id="rId162" xr:uid="{00000000-0004-0000-0100-0000A1000000}"/>
    <hyperlink ref="F377" r:id="rId163" xr:uid="{00000000-0004-0000-0100-0000A2000000}"/>
    <hyperlink ref="F378" r:id="rId164" xr:uid="{00000000-0004-0000-0100-0000A3000000}"/>
    <hyperlink ref="F379" r:id="rId165" xr:uid="{00000000-0004-0000-0100-0000A4000000}"/>
    <hyperlink ref="F382" r:id="rId166" xr:uid="{00000000-0004-0000-0100-0000A5000000}"/>
    <hyperlink ref="F386" r:id="rId167" xr:uid="{00000000-0004-0000-0100-0000A6000000}"/>
    <hyperlink ref="F387" r:id="rId168" xr:uid="{00000000-0004-0000-0100-0000A7000000}"/>
    <hyperlink ref="F392" r:id="rId169" xr:uid="{00000000-0004-0000-0100-0000A8000000}"/>
    <hyperlink ref="F394" r:id="rId170" xr:uid="{00000000-0004-0000-0100-0000A9000000}"/>
    <hyperlink ref="F395" r:id="rId171" xr:uid="{00000000-0004-0000-0100-0000AA000000}"/>
    <hyperlink ref="F397" r:id="rId172" xr:uid="{00000000-0004-0000-0100-0000AB000000}"/>
    <hyperlink ref="F399" r:id="rId173" xr:uid="{00000000-0004-0000-0100-0000AC000000}"/>
    <hyperlink ref="F405" r:id="rId174" xr:uid="{00000000-0004-0000-0100-0000AD000000}"/>
    <hyperlink ref="F414" r:id="rId175" xr:uid="{00000000-0004-0000-0100-0000AE000000}"/>
    <hyperlink ref="F415" r:id="rId176" xr:uid="{00000000-0004-0000-0100-0000AF000000}"/>
    <hyperlink ref="F418" r:id="rId177" xr:uid="{00000000-0004-0000-0100-0000B0000000}"/>
    <hyperlink ref="F419" r:id="rId178" xr:uid="{00000000-0004-0000-0100-0000B1000000}"/>
    <hyperlink ref="F421" r:id="rId179" xr:uid="{00000000-0004-0000-0100-0000B2000000}"/>
    <hyperlink ref="F425" r:id="rId180" xr:uid="{00000000-0004-0000-0100-0000B3000000}"/>
    <hyperlink ref="F426" r:id="rId181" xr:uid="{00000000-0004-0000-0100-0000B4000000}"/>
    <hyperlink ref="F435" r:id="rId182" xr:uid="{00000000-0004-0000-0100-0000B5000000}"/>
    <hyperlink ref="F440" r:id="rId183" xr:uid="{00000000-0004-0000-0100-0000B6000000}"/>
    <hyperlink ref="F443" r:id="rId184" xr:uid="{00000000-0004-0000-0100-0000B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Files Index</vt:lpstr>
      <vt:lpstr>OPRA Tracker NJ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Charles Swenson</cp:lastModifiedBy>
  <cp:revision>0</cp:revision>
  <dcterms:created xsi:type="dcterms:W3CDTF">2026-04-08T22:34:34Z</dcterms:created>
  <dcterms:modified xsi:type="dcterms:W3CDTF">2026-04-17T23:13:10Z</dcterms:modified>
  <dc:language>en-US</dc:language>
</cp:coreProperties>
</file>