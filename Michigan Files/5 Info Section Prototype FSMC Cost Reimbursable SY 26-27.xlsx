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stateofmichigan.sharepoint.com/teams/mde/FoodDistribution/Contracts T/Contracts/26-27 Contracts/1-FSMC 26-27/3-FSMC Prototypes 26-27/Cost Reimbursable/"/>
    </mc:Choice>
  </mc:AlternateContent>
  <xr:revisionPtr revIDLastSave="913" documentId="8_{C7FDF010-EB60-4573-8878-6520CBEDFA74}" xr6:coauthVersionLast="47" xr6:coauthVersionMax="47" xr10:uidLastSave="{8BEAC26E-59F4-471D-8FB5-8F1851DC9526}"/>
  <bookViews>
    <workbookView xWindow="-108" yWindow="-108" windowWidth="23256" windowHeight="13896" tabRatio="863" firstSheet="10" activeTab="15" xr2:uid="{00000000-000D-0000-FFFF-FFFF00000000}"/>
  </bookViews>
  <sheets>
    <sheet name="1-Info Section Directions" sheetId="17" r:id="rId1"/>
    <sheet name="2-Required Attachments" sheetId="102" r:id="rId2"/>
    <sheet name="3-Food Specifications" sheetId="75" r:id="rId3"/>
    <sheet name="Sample Non-Price Criteria " sheetId="105" r:id="rId4"/>
    <sheet name="Sample Bid Point Calculator" sheetId="106" r:id="rId5"/>
    <sheet name="4-Bid Point Calculator" sheetId="107" r:id="rId6"/>
    <sheet name="5-Equipment List" sheetId="108" r:id="rId7"/>
    <sheet name="6-VendedContractsAgrmts" sheetId="109" r:id="rId8"/>
    <sheet name="8-USDA Foods" sheetId="70" r:id="rId9"/>
    <sheet name="7-Sites and Programs" sheetId="110" r:id="rId10"/>
    <sheet name="9-Responsibility Details" sheetId="111" r:id="rId11"/>
    <sheet name="10-Current Labor-Fringe" sheetId="91" r:id="rId12"/>
    <sheet name="11-Projected Costs" sheetId="112" r:id="rId13"/>
    <sheet name="12-Projected Revenue" sheetId="114" r:id="rId14"/>
    <sheet name="13-FSMC Proposed Labor-Fringe" sheetId="94" r:id="rId15"/>
    <sheet name="14-Bid Sheet with adv pmt" sheetId="101" r:id="rId16"/>
    <sheet name="15-Bid Sheet without adv pmt" sheetId="56" r:id="rId17"/>
  </sheets>
  <definedNames>
    <definedName name="_xlnm.Print_Area" localSheetId="11">'10-Current Labor-Fringe'!$A$1:$O$59</definedName>
    <definedName name="_xlnm.Print_Area" localSheetId="12">'11-Projected Costs'!$A$1:$C$25</definedName>
    <definedName name="_xlnm.Print_Area" localSheetId="13">'12-Projected Revenue'!$A$1:$H$110</definedName>
    <definedName name="_xlnm.Print_Area" localSheetId="14">'13-FSMC Proposed Labor-Fringe'!$A$1:$O$39</definedName>
    <definedName name="_xlnm.Print_Area" localSheetId="15">'14-Bid Sheet with adv pmt'!$A$1:$K$37</definedName>
    <definedName name="_xlnm.Print_Area" localSheetId="16">'15-Bid Sheet without adv pmt'!$A$1:$K$34</definedName>
    <definedName name="_xlnm.Print_Area" localSheetId="0">'1-Info Section Directions'!$A$1:$A$18</definedName>
    <definedName name="_xlnm.Print_Area" localSheetId="1">'2-Required Attachments'!$A$1:$B$28</definedName>
    <definedName name="_xlnm.Print_Area" localSheetId="2">'3-Food Specifications'!$A$1:$B$32</definedName>
    <definedName name="_xlnm.Print_Area" localSheetId="5">'4-Bid Point Calculator'!$A$1:$I$42</definedName>
    <definedName name="_xlnm.Print_Area" localSheetId="6">'5-Equipment List'!$A$1:$E$81</definedName>
    <definedName name="_xlnm.Print_Area" localSheetId="7">'6-VendedContractsAgrmts'!$A$1:$G$37</definedName>
    <definedName name="_xlnm.Print_Area" localSheetId="9">'7-Sites and Programs'!$A$1:$AD$32</definedName>
    <definedName name="_xlnm.Print_Area" localSheetId="8">'8-USDA Foods'!$A$1:$B$13</definedName>
    <definedName name="_xlnm.Print_Area" localSheetId="10">'9-Responsibility Details'!$A$1:$F$62</definedName>
    <definedName name="_xlnm.Print_Area" localSheetId="4">'Sample Bid Point Calculator'!$A$1:$I$42</definedName>
    <definedName name="_xlnm.Print_Area" localSheetId="3">'Sample Non-Price Criteria '!$A$1:$C$102</definedName>
    <definedName name="_xlnm.Print_Titles" localSheetId="11">'10-Current Labor-Fringe'!$26:$27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4" i="114" l="1"/>
  <c r="L33" i="114" s="1"/>
  <c r="F93" i="114"/>
  <c r="F92" i="114"/>
  <c r="G94" i="114" s="1"/>
  <c r="B90" i="114"/>
  <c r="F89" i="114"/>
  <c r="F88" i="114"/>
  <c r="G90" i="114" s="1"/>
  <c r="B86" i="114"/>
  <c r="F85" i="114"/>
  <c r="F84" i="114"/>
  <c r="G86" i="114" s="1"/>
  <c r="B82" i="114"/>
  <c r="L30" i="114" s="1"/>
  <c r="F81" i="114"/>
  <c r="F80" i="114"/>
  <c r="G82" i="114" s="1"/>
  <c r="B77" i="114"/>
  <c r="F76" i="114"/>
  <c r="F75" i="114"/>
  <c r="F74" i="114"/>
  <c r="G77" i="114" s="1"/>
  <c r="B72" i="114"/>
  <c r="F71" i="114"/>
  <c r="F70" i="114"/>
  <c r="F69" i="114"/>
  <c r="G72" i="114" s="1"/>
  <c r="B67" i="114"/>
  <c r="F66" i="114"/>
  <c r="F65" i="114"/>
  <c r="F64" i="114"/>
  <c r="G67" i="114" s="1"/>
  <c r="B62" i="114"/>
  <c r="F61" i="114"/>
  <c r="F60" i="114"/>
  <c r="F59" i="114"/>
  <c r="B56" i="114"/>
  <c r="F55" i="114"/>
  <c r="F54" i="114"/>
  <c r="F53" i="114"/>
  <c r="G56" i="114" s="1"/>
  <c r="B51" i="114"/>
  <c r="F50" i="114"/>
  <c r="F49" i="114"/>
  <c r="F48" i="114"/>
  <c r="F47" i="114"/>
  <c r="F46" i="114"/>
  <c r="F45" i="114"/>
  <c r="G51" i="114" s="1"/>
  <c r="B43" i="114"/>
  <c r="F42" i="114"/>
  <c r="F41" i="114"/>
  <c r="F40" i="114"/>
  <c r="F39" i="114"/>
  <c r="F38" i="114"/>
  <c r="G105" i="114"/>
  <c r="B98" i="114"/>
  <c r="F97" i="114"/>
  <c r="F96" i="114"/>
  <c r="G98" i="114" s="1"/>
  <c r="G33" i="114"/>
  <c r="H34" i="114" s="1"/>
  <c r="L31" i="114"/>
  <c r="L26" i="114"/>
  <c r="F24" i="114"/>
  <c r="F23" i="114"/>
  <c r="G21" i="114"/>
  <c r="G17" i="114"/>
  <c r="G12" i="114"/>
  <c r="L32" i="114" l="1"/>
  <c r="G43" i="114"/>
  <c r="G62" i="114"/>
  <c r="L34" i="114"/>
  <c r="H106" i="114"/>
  <c r="H107" i="114" s="1"/>
  <c r="L27" i="114"/>
  <c r="L28" i="114" s="1"/>
  <c r="L35" i="114" l="1"/>
  <c r="C7" i="56" l="1"/>
  <c r="C7" i="101"/>
  <c r="B10" i="112" l="1"/>
  <c r="B9" i="112"/>
  <c r="B8" i="112"/>
  <c r="B7" i="112"/>
  <c r="B6" i="112"/>
  <c r="B5" i="112"/>
  <c r="O32" i="94"/>
  <c r="F32" i="94"/>
  <c r="O31" i="94"/>
  <c r="F31" i="94"/>
  <c r="G10" i="109" l="1"/>
  <c r="A42" i="107"/>
  <c r="D10" i="107"/>
  <c r="D42" i="107" s="1"/>
  <c r="D9" i="107"/>
  <c r="E8" i="107"/>
  <c r="E9" i="107" s="1"/>
  <c r="E10" i="107" s="1"/>
  <c r="E42" i="107" s="1"/>
  <c r="I7" i="107"/>
  <c r="I8" i="107" s="1"/>
  <c r="I9" i="107" s="1"/>
  <c r="I10" i="107" s="1"/>
  <c r="I42" i="107" s="1"/>
  <c r="H7" i="107"/>
  <c r="H8" i="107" s="1"/>
  <c r="H9" i="107" s="1"/>
  <c r="H10" i="107" s="1"/>
  <c r="H42" i="107" s="1"/>
  <c r="G7" i="107"/>
  <c r="G8" i="107" s="1"/>
  <c r="G9" i="107" s="1"/>
  <c r="G10" i="107" s="1"/>
  <c r="G42" i="107" s="1"/>
  <c r="F7" i="107"/>
  <c r="F8" i="107" s="1"/>
  <c r="F9" i="107" s="1"/>
  <c r="F10" i="107" s="1"/>
  <c r="F42" i="107" s="1"/>
  <c r="E7" i="107"/>
  <c r="A42" i="106"/>
  <c r="D10" i="106"/>
  <c r="D11" i="106" s="1"/>
  <c r="D42" i="106" s="1"/>
  <c r="I8" i="106"/>
  <c r="I9" i="106" s="1"/>
  <c r="I10" i="106" s="1"/>
  <c r="I11" i="106" s="1"/>
  <c r="I42" i="106" s="1"/>
  <c r="H8" i="106"/>
  <c r="H9" i="106" s="1"/>
  <c r="H10" i="106" s="1"/>
  <c r="H11" i="106" s="1"/>
  <c r="H42" i="106" s="1"/>
  <c r="G8" i="106"/>
  <c r="G9" i="106" s="1"/>
  <c r="G10" i="106" s="1"/>
  <c r="G11" i="106" s="1"/>
  <c r="G42" i="106" s="1"/>
  <c r="F8" i="106"/>
  <c r="F9" i="106" s="1"/>
  <c r="F10" i="106" s="1"/>
  <c r="F11" i="106" s="1"/>
  <c r="F42" i="106" s="1"/>
  <c r="E8" i="106"/>
  <c r="E9" i="106" s="1"/>
  <c r="E10" i="106" s="1"/>
  <c r="E11" i="106" s="1"/>
  <c r="E42" i="106" s="1"/>
  <c r="B22" i="112" l="1"/>
  <c r="E27" i="101"/>
  <c r="E30" i="101" s="1"/>
  <c r="E28" i="101" l="1"/>
  <c r="N36" i="94" l="1"/>
  <c r="M36" i="94"/>
  <c r="L36" i="94"/>
  <c r="K36" i="94"/>
  <c r="J36" i="94"/>
  <c r="I36" i="94"/>
  <c r="H36" i="94"/>
  <c r="G36" i="94"/>
  <c r="O25" i="91"/>
  <c r="N25" i="91"/>
  <c r="M25" i="91"/>
  <c r="L25" i="91"/>
  <c r="K25" i="91"/>
  <c r="J25" i="91"/>
  <c r="I25" i="91"/>
  <c r="H25" i="91"/>
  <c r="G25" i="91"/>
  <c r="F25" i="91"/>
  <c r="O49" i="91"/>
  <c r="N49" i="91"/>
  <c r="M49" i="91"/>
  <c r="L49" i="91"/>
  <c r="K49" i="91"/>
  <c r="J49" i="91"/>
  <c r="I49" i="91"/>
  <c r="H49" i="91"/>
  <c r="G49" i="91"/>
  <c r="O9" i="91" l="1"/>
  <c r="F9" i="91"/>
  <c r="O8" i="91"/>
  <c r="F8" i="91"/>
  <c r="O7" i="91"/>
  <c r="F7" i="91"/>
  <c r="O6" i="91"/>
  <c r="F6" i="91"/>
  <c r="O5" i="91"/>
  <c r="F5" i="91"/>
  <c r="O13" i="91"/>
  <c r="F13" i="91"/>
  <c r="O12" i="91"/>
  <c r="F12" i="91"/>
  <c r="O17" i="91"/>
  <c r="F17" i="91"/>
  <c r="O16" i="91"/>
  <c r="F16" i="91"/>
  <c r="O15" i="91"/>
  <c r="F15" i="91"/>
  <c r="O14" i="91"/>
  <c r="F14" i="91"/>
  <c r="O11" i="91"/>
  <c r="F11" i="91"/>
  <c r="O10" i="91"/>
  <c r="F10" i="91"/>
  <c r="O20" i="91"/>
  <c r="F20" i="91"/>
  <c r="O19" i="91"/>
  <c r="F19" i="91"/>
  <c r="O18" i="91"/>
  <c r="F18" i="91"/>
  <c r="O35" i="94"/>
  <c r="F35" i="94"/>
  <c r="O34" i="94"/>
  <c r="F34" i="94"/>
  <c r="O33" i="94"/>
  <c r="F33" i="94"/>
  <c r="O30" i="94"/>
  <c r="O36" i="94" s="1"/>
  <c r="F30" i="94"/>
  <c r="N27" i="94"/>
  <c r="M27" i="94"/>
  <c r="L27" i="94"/>
  <c r="K27" i="94"/>
  <c r="J27" i="94"/>
  <c r="I27" i="94"/>
  <c r="H27" i="94"/>
  <c r="G27" i="94"/>
  <c r="O25" i="94"/>
  <c r="F25" i="94"/>
  <c r="O24" i="94"/>
  <c r="F24" i="94"/>
  <c r="O23" i="94"/>
  <c r="F23" i="94"/>
  <c r="O22" i="94"/>
  <c r="F22" i="94"/>
  <c r="O21" i="94"/>
  <c r="F21" i="94"/>
  <c r="O20" i="94"/>
  <c r="F20" i="94"/>
  <c r="O19" i="94"/>
  <c r="F19" i="94"/>
  <c r="O18" i="94"/>
  <c r="F18" i="94"/>
  <c r="O17" i="94"/>
  <c r="F17" i="94"/>
  <c r="O16" i="94"/>
  <c r="F16" i="94"/>
  <c r="O15" i="94"/>
  <c r="F15" i="94"/>
  <c r="O14" i="94"/>
  <c r="F14" i="94"/>
  <c r="O13" i="94"/>
  <c r="F13" i="94"/>
  <c r="O12" i="94"/>
  <c r="F12" i="94"/>
  <c r="O11" i="94"/>
  <c r="F11" i="94"/>
  <c r="O10" i="94"/>
  <c r="F10" i="94"/>
  <c r="O9" i="94"/>
  <c r="F9" i="94"/>
  <c r="O8" i="94"/>
  <c r="F8" i="94"/>
  <c r="O7" i="94"/>
  <c r="F7" i="94"/>
  <c r="O6" i="94"/>
  <c r="F6" i="94"/>
  <c r="O47" i="91"/>
  <c r="F47" i="91"/>
  <c r="O46" i="91"/>
  <c r="F46" i="91"/>
  <c r="O45" i="91"/>
  <c r="F45" i="91"/>
  <c r="O44" i="91"/>
  <c r="F44" i="91"/>
  <c r="O43" i="91"/>
  <c r="F43" i="91"/>
  <c r="O42" i="91"/>
  <c r="F42" i="91"/>
  <c r="O41" i="91"/>
  <c r="F41" i="91"/>
  <c r="O40" i="91"/>
  <c r="F40" i="91"/>
  <c r="O39" i="91"/>
  <c r="F39" i="91"/>
  <c r="O38" i="91"/>
  <c r="F38" i="91"/>
  <c r="O37" i="91"/>
  <c r="F37" i="91"/>
  <c r="O36" i="91"/>
  <c r="F36" i="91"/>
  <c r="O35" i="91"/>
  <c r="F35" i="91"/>
  <c r="O34" i="91"/>
  <c r="F34" i="91"/>
  <c r="O33" i="91"/>
  <c r="F33" i="91"/>
  <c r="O32" i="91"/>
  <c r="F32" i="91"/>
  <c r="O31" i="91"/>
  <c r="F31" i="91"/>
  <c r="O30" i="91"/>
  <c r="F30" i="91"/>
  <c r="O29" i="91"/>
  <c r="F29" i="91"/>
  <c r="O28" i="91"/>
  <c r="F28" i="91"/>
  <c r="O23" i="91"/>
  <c r="F23" i="91"/>
  <c r="O22" i="91"/>
  <c r="F22" i="91"/>
  <c r="O21" i="91"/>
  <c r="F21" i="91"/>
  <c r="F27" i="94" l="1"/>
  <c r="F36" i="94"/>
  <c r="O27" i="94"/>
  <c r="F49" i="91"/>
  <c r="E24" i="56"/>
  <c r="E27" i="56" l="1"/>
  <c r="E25" i="56" l="1"/>
</calcChain>
</file>

<file path=xl/sharedStrings.xml><?xml version="1.0" encoding="utf-8"?>
<sst xmlns="http://schemas.openxmlformats.org/spreadsheetml/2006/main" count="1001" uniqueCount="529">
  <si>
    <t>c.  Vended meals provided to other sites, such as Headstart</t>
  </si>
  <si>
    <t>1.</t>
  </si>
  <si>
    <t xml:space="preserve">The USDA may update program requirements at any time. </t>
  </si>
  <si>
    <t>2.</t>
  </si>
  <si>
    <t>3.</t>
  </si>
  <si>
    <t>4.</t>
  </si>
  <si>
    <t>Each meal must include the appropriate serving of each required food component and must be consistent with the targeted dietary specifications for sodium, calories, saturated and trans fat.</t>
  </si>
  <si>
    <t>5.</t>
  </si>
  <si>
    <t>Additional information about School Meals, Meal Pattern Requirements, Nutrition Standards, Regulations, Policy Memos, and Guidance Materials can be found at the following links:</t>
  </si>
  <si>
    <t>a.</t>
  </si>
  <si>
    <t>MDE-School Nutrition Programs-National School Lunch Program</t>
  </si>
  <si>
    <t>b.</t>
  </si>
  <si>
    <t>c.</t>
  </si>
  <si>
    <t>d.</t>
  </si>
  <si>
    <t>e.</t>
  </si>
  <si>
    <t>6.</t>
  </si>
  <si>
    <t xml:space="preserve">While not inclusive, here are a few key USDA Policy memos that may be helpful:  </t>
  </si>
  <si>
    <t>USDA Memo SP 41-2015,  July 21, 2015 - Updated OVS Guidance (SY 2015-16)</t>
  </si>
  <si>
    <t>7.</t>
  </si>
  <si>
    <t>MDE-Food and Nutrition Programs-Summer Food Service Program</t>
  </si>
  <si>
    <t>USDA SFSP Nutrition Guide</t>
  </si>
  <si>
    <t>MDE-Food and Nutrition Programs-Child and Adult Care Food Program</t>
  </si>
  <si>
    <t>USDA Nutrition Standards for CACFP</t>
  </si>
  <si>
    <t>USDA - Serving School Meals to Preschoolers</t>
  </si>
  <si>
    <t>f.</t>
  </si>
  <si>
    <t>MDE-Food and Nutrition Programs-School Nutrition Programs-Fresh Fruit and Vegetable Program</t>
  </si>
  <si>
    <t>Ability to provide support in emergencies or to ensure smooth operation</t>
  </si>
  <si>
    <t>Experience managing K-12 school districts</t>
  </si>
  <si>
    <t>Experience staffing K-12 food service programs</t>
  </si>
  <si>
    <t>Employee Training and Development</t>
  </si>
  <si>
    <t>Training program for foodservice employees</t>
  </si>
  <si>
    <t>Examples of training materials used for foodservice employees</t>
  </si>
  <si>
    <t>Food safety and sanitation training/Hazard Analysis and Critical Control Points (HACCP)</t>
  </si>
  <si>
    <t>Work safety (lifting, bending, cutting, slicing, etc.)</t>
  </si>
  <si>
    <t>Portion control and quantity food production</t>
  </si>
  <si>
    <t>Professional development provided for on-site manager</t>
  </si>
  <si>
    <t>Relationship/communication with the school district</t>
  </si>
  <si>
    <t>Maintenance of kitchen and food serving areas/equipment</t>
  </si>
  <si>
    <t>Awareness and timely compliance with government regulations/requirements</t>
  </si>
  <si>
    <t>Projected operating budgets/forecasts meet established goals/timelines</t>
  </si>
  <si>
    <t>Recommendations made to adjust forecast</t>
  </si>
  <si>
    <t>Experience with menu development and special events</t>
  </si>
  <si>
    <t>Experience conducting procurement</t>
  </si>
  <si>
    <t>Experience working with USDA Foods</t>
  </si>
  <si>
    <t>Experience working collaboratively with various school personnel (i.e., wellness programs)</t>
  </si>
  <si>
    <t>Target audience(s) to be served (students, staff, parents, parent/community organizations)</t>
  </si>
  <si>
    <t>Recognition of holidays and special events</t>
  </si>
  <si>
    <t>Ways to enhance kitchen/cafeteria atmosphere</t>
  </si>
  <si>
    <t>Use of varied serving styles (serving lines, express lines, self-service, etc.)</t>
  </si>
  <si>
    <t>Nutrition Education</t>
  </si>
  <si>
    <t>Promotional materials (posters, menus, flyers, etc.)</t>
  </si>
  <si>
    <t>Samples/examples of materials used to promote healthy messages/making healthy choices</t>
  </si>
  <si>
    <t>Collaborative nutrition education/wellness program efforts done with other school districts</t>
  </si>
  <si>
    <t>Past Performance</t>
  </si>
  <si>
    <t>Results of Administrative Review (AR)</t>
  </si>
  <si>
    <t>Results of local health and safety inspection report</t>
  </si>
  <si>
    <t>Equipment recommendations and provisions (new equipment, use of current equipment, etc.)</t>
  </si>
  <si>
    <t>Emergency Readiness Plan</t>
  </si>
  <si>
    <t>Plan to Increase Participation</t>
  </si>
  <si>
    <t xml:space="preserve">Innovative ways of providing quick and efficient service </t>
  </si>
  <si>
    <t>Alternate menu choices/offerings</t>
  </si>
  <si>
    <t>Innovative ways of promoting breakfast and lunch programs</t>
  </si>
  <si>
    <t>Experience in kitchen/food service layout and design (renovation or new construction)</t>
  </si>
  <si>
    <t>Experience working with various types of food preparation and delivery systems (Quick Chill, satelliting, unitized meals, etc.)</t>
  </si>
  <si>
    <t>Company Name</t>
  </si>
  <si>
    <t>Bid Calculation and Evaluation Criteria</t>
  </si>
  <si>
    <t>Enter Bid Price lowest to highest</t>
  </si>
  <si>
    <t>List Non-Price Criteria and Sub-criteria Below
(points will total 100 when added to Bid Price Points)</t>
  </si>
  <si>
    <t>Enter Evaluation Points</t>
  </si>
  <si>
    <t>TOTAL</t>
  </si>
  <si>
    <t>Total</t>
  </si>
  <si>
    <t>Vision</t>
  </si>
  <si>
    <t>Retirement</t>
  </si>
  <si>
    <t>Mark an "X" in the appropriate columns for each item.</t>
  </si>
  <si>
    <t>Expendable (one time use)</t>
  </si>
  <si>
    <t>Non-Expendable (reusable)</t>
  </si>
  <si>
    <t>Four burner stove with oven</t>
  </si>
  <si>
    <t>x</t>
  </si>
  <si>
    <t>Milk cooler (12 crate)</t>
  </si>
  <si>
    <t>Three-pan steamer</t>
  </si>
  <si>
    <t>Microwave</t>
  </si>
  <si>
    <t>Serving utensils</t>
  </si>
  <si>
    <t>Stainless steel carts (4)</t>
  </si>
  <si>
    <t>Breakfast</t>
  </si>
  <si>
    <t>Lunch</t>
  </si>
  <si>
    <t>Snack</t>
  </si>
  <si>
    <t>Supper</t>
  </si>
  <si>
    <t>Food</t>
  </si>
  <si>
    <t>Food Purchases</t>
  </si>
  <si>
    <t>Processing and Payment of Invoices</t>
  </si>
  <si>
    <t>Cleaning/Janitorial Supplies</t>
  </si>
  <si>
    <t>Paper/Disposable Supplies</t>
  </si>
  <si>
    <t>Trash Removal</t>
  </si>
  <si>
    <t>From Kitchen</t>
  </si>
  <si>
    <t>From Dining Area</t>
  </si>
  <si>
    <t>From Premises</t>
  </si>
  <si>
    <t>Pest Control</t>
  </si>
  <si>
    <t>Insurance on Supplies/Inventory</t>
  </si>
  <si>
    <t>Taxes and Licenses</t>
  </si>
  <si>
    <t>Kitchen Floors</t>
  </si>
  <si>
    <t>Hoods, Duct Work</t>
  </si>
  <si>
    <t>Cafeteria Walls</t>
  </si>
  <si>
    <t>Light Fixtures</t>
  </si>
  <si>
    <t>Windows</t>
  </si>
  <si>
    <t>Grease Traps</t>
  </si>
  <si>
    <t>LOCAL REVENUE</t>
  </si>
  <si>
    <t>Elementary Paid</t>
  </si>
  <si>
    <t>Secondary Paid</t>
  </si>
  <si>
    <t>Reduced</t>
  </si>
  <si>
    <t>Summer Programs (not SFSP)</t>
  </si>
  <si>
    <t>Total Local Revenue</t>
  </si>
  <si>
    <t>Free</t>
  </si>
  <si>
    <t>Free, severe need</t>
  </si>
  <si>
    <t>Reduced, severe need</t>
  </si>
  <si>
    <t>Paid</t>
  </si>
  <si>
    <t>Free, At-Risk</t>
  </si>
  <si>
    <t xml:space="preserve">Paid </t>
  </si>
  <si>
    <t>Urban or Vended sites</t>
  </si>
  <si>
    <t>Rural or Self-prep sites</t>
  </si>
  <si>
    <t xml:space="preserve">Paid, severe need </t>
  </si>
  <si>
    <t>31d Payment (School Lunch)</t>
  </si>
  <si>
    <t>31f Payment (School Breakfast)</t>
  </si>
  <si>
    <t>Federal Free Lunch Rate</t>
  </si>
  <si>
    <t>+ Commodity Entitlement Rate</t>
  </si>
  <si>
    <t>By submission of this bid, the bidder certifies that, in the event the bidder receives an award under this solicitation, the bidder shall operate in accordance with all applicable program laws and regulations.  This contract shall be in effect for one year and may be renewed by mutual agreement for four additional one-year periods.</t>
  </si>
  <si>
    <t>NOTE: The Food Service Management Company must use this bid sheet when submitting its bid.</t>
  </si>
  <si>
    <t>=</t>
  </si>
  <si>
    <t>Name of Food Service Management Company</t>
  </si>
  <si>
    <r>
      <t xml:space="preserve">A la Carte Sales - </t>
    </r>
    <r>
      <rPr>
        <b/>
        <sz val="10"/>
        <rFont val="Arial"/>
        <family val="2"/>
      </rPr>
      <t>Elementary</t>
    </r>
  </si>
  <si>
    <r>
      <t xml:space="preserve">A la Carte Sales - </t>
    </r>
    <r>
      <rPr>
        <b/>
        <sz val="10"/>
        <rFont val="Arial"/>
        <family val="2"/>
      </rPr>
      <t>Secondary</t>
    </r>
  </si>
  <si>
    <t>Concessions</t>
  </si>
  <si>
    <t>Vending Machines</t>
  </si>
  <si>
    <t>Subtotal SNP Breakfast</t>
  </si>
  <si>
    <t>School Nutrition Programs (SNP)</t>
  </si>
  <si>
    <t>Child and Adult Care Food Program (CACFP)</t>
  </si>
  <si>
    <t>Summer Food Service Program (SFSP)</t>
  </si>
  <si>
    <t xml:space="preserve">Supper </t>
  </si>
  <si>
    <t>Subtotal SNP Lunch</t>
  </si>
  <si>
    <t>Subtotal SNP Snack</t>
  </si>
  <si>
    <t xml:space="preserve">Total </t>
  </si>
  <si>
    <t>Subtotal CACFP Breakfast</t>
  </si>
  <si>
    <t>Subtotal CACFP Lunch</t>
  </si>
  <si>
    <t>Subtotal CACFP Snack</t>
  </si>
  <si>
    <t>Subtotal CACFP Supper</t>
  </si>
  <si>
    <t>Subtotal SFSP Breakfast</t>
  </si>
  <si>
    <t>Subtotal SFSP Lunch</t>
  </si>
  <si>
    <t>Subtotal SFSP Snack</t>
  </si>
  <si>
    <t>Subtotal SFSP Supper</t>
  </si>
  <si>
    <t>Other Local Revenue</t>
  </si>
  <si>
    <t>Free (enter average cost each)</t>
  </si>
  <si>
    <t>Breakfast - SNP</t>
  </si>
  <si>
    <t>Lunch - SNP</t>
  </si>
  <si>
    <t>Student/Adult 
Meal Rate</t>
  </si>
  <si>
    <t>Fresh Fruit and Vegetable Program (FFVP) Grant</t>
  </si>
  <si>
    <t>Sponsor must attach A la Carte information (if applicable).</t>
  </si>
  <si>
    <t>Sponsor must attach a sample 21-day cycle menu for each meal (breakfast, lunch, snack, supper) served.</t>
  </si>
  <si>
    <t xml:space="preserve">Attach a separate PDF of the a la carte items/pricing sheet for each site where a la carte is available.  </t>
  </si>
  <si>
    <t>Number of Days Paid</t>
  </si>
  <si>
    <t>     </t>
  </si>
  <si>
    <t>Site or School Building</t>
  </si>
  <si>
    <t>Total Annual Wage ($)</t>
  </si>
  <si>
    <t>Hourly 
Rate ($)</t>
  </si>
  <si>
    <t>Dental</t>
  </si>
  <si>
    <t>Longevity or Annuity</t>
  </si>
  <si>
    <t>Life</t>
  </si>
  <si>
    <t>FICA</t>
  </si>
  <si>
    <t>Medical</t>
  </si>
  <si>
    <t>FSMC 
Provides</t>
  </si>
  <si>
    <t>Stainless steel carts (2)</t>
  </si>
  <si>
    <t>SNP Breakfast</t>
  </si>
  <si>
    <t>SNP Lunch</t>
  </si>
  <si>
    <t>Grade Levels</t>
  </si>
  <si>
    <t>DO NOT ALTER - CELLS WILL AUTO-FILL</t>
  </si>
  <si>
    <t>Telephone/Internet</t>
  </si>
  <si>
    <t>Total Maximum Points is 100.
Highest number of points wins the award.</t>
  </si>
  <si>
    <t>Job Title*</t>
  </si>
  <si>
    <t>FOOD SPECIFICATIONS FOR
CHILD NUTRITION PROGRAMS</t>
  </si>
  <si>
    <t>REQUIRED ATTACHMENTS</t>
  </si>
  <si>
    <t>High School</t>
  </si>
  <si>
    <t>SAMPLE NON-PRICE CRITERIA AND SUB-CRITERIA
(for Bid Point Calculator)</t>
  </si>
  <si>
    <t>This bid is being offered by:</t>
  </si>
  <si>
    <t>Daily 
Hours</t>
  </si>
  <si>
    <t>Special Milk Program</t>
  </si>
  <si>
    <r>
      <t xml:space="preserve">31A Payment </t>
    </r>
    <r>
      <rPr>
        <b/>
        <sz val="10"/>
        <color rgb="FF0070C0"/>
        <rFont val="Arial"/>
        <family val="2"/>
      </rPr>
      <t>(enter amount assigned to Food Service only)</t>
    </r>
  </si>
  <si>
    <r>
      <t xml:space="preserve">Non-Program Meal Equivalents 
</t>
    </r>
    <r>
      <rPr>
        <sz val="10"/>
        <rFont val="Arial"/>
        <family val="2"/>
      </rPr>
      <t>(divide Other Local Revenue by Total)</t>
    </r>
  </si>
  <si>
    <t>Total Sold</t>
  </si>
  <si>
    <t>Subtotal Paid Breakfast</t>
  </si>
  <si>
    <t>Subtotal Paid Lunch</t>
  </si>
  <si>
    <t>Subtotal Paid Special Milk</t>
  </si>
  <si>
    <t>Subtotal Other Local Revenue</t>
  </si>
  <si>
    <t>Subtotal Special Milk</t>
  </si>
  <si>
    <r>
      <t xml:space="preserve">Tabs in purple must be completed by the </t>
    </r>
    <r>
      <rPr>
        <b/>
        <sz val="12"/>
        <color rgb="FFFF0000"/>
        <rFont val="Arial"/>
        <family val="2"/>
      </rPr>
      <t>bidder</t>
    </r>
    <r>
      <rPr>
        <b/>
        <sz val="12"/>
        <rFont val="Arial"/>
        <family val="2"/>
      </rPr>
      <t>.</t>
    </r>
  </si>
  <si>
    <t>This bid is being offered to:</t>
  </si>
  <si>
    <t>TOTAL REVENUE</t>
  </si>
  <si>
    <t>Contracted Services (not utilities or FSMC administrative costs)</t>
  </si>
  <si>
    <t>FSMC Management Fee</t>
  </si>
  <si>
    <t>Transportation/Vehicle Cost</t>
  </si>
  <si>
    <t>Utilities (assigned to Food Service Fund)</t>
  </si>
  <si>
    <t>Other (as defined on Projected Costs tab)</t>
  </si>
  <si>
    <t xml:space="preserve">Projected Meals/Meal Equivalents Per Year:  </t>
  </si>
  <si>
    <t>Additional Food Service Markup if applicable (refer to RFP)</t>
  </si>
  <si>
    <t>(do not alter, cell will auto-fill upon MDE review)</t>
  </si>
  <si>
    <t>TOTAL PROJECTED OPERATING COST</t>
  </si>
  <si>
    <t>Subtotal (Bid Items Only)</t>
  </si>
  <si>
    <r>
      <t xml:space="preserve">Bid Price Per Meal 
</t>
    </r>
    <r>
      <rPr>
        <sz val="10"/>
        <rFont val="Arial"/>
        <family val="2"/>
      </rPr>
      <t>(subtotal divided by projected meals/meal equivalents)</t>
    </r>
  </si>
  <si>
    <t>Adult Breakfast Meals</t>
  </si>
  <si>
    <t>Adult Lunch Meals</t>
  </si>
  <si>
    <t>REIMBURSEMENTS</t>
  </si>
  <si>
    <t>Other Reimbursements</t>
  </si>
  <si>
    <t>Subtotal Other Reimbursements</t>
  </si>
  <si>
    <t>Total Reimbursements</t>
  </si>
  <si>
    <t>Additional Child Nutrition Program information links:</t>
  </si>
  <si>
    <r>
      <t xml:space="preserve">Bid Items
</t>
    </r>
    <r>
      <rPr>
        <b/>
        <sz val="10"/>
        <color rgb="FF0070C0"/>
        <rFont val="Arial"/>
        <family val="2"/>
      </rPr>
      <t>(Sponsor completes)</t>
    </r>
  </si>
  <si>
    <r>
      <t xml:space="preserve">Projected 
Operating Cost 
</t>
    </r>
    <r>
      <rPr>
        <b/>
        <sz val="10"/>
        <color rgb="FFFF0000"/>
        <rFont val="Arial"/>
        <family val="2"/>
      </rPr>
      <t>WITHOUT</t>
    </r>
    <r>
      <rPr>
        <b/>
        <sz val="10"/>
        <rFont val="Arial"/>
        <family val="2"/>
      </rPr>
      <t xml:space="preserve"> 
Advance Payment
</t>
    </r>
    <r>
      <rPr>
        <b/>
        <sz val="10"/>
        <color rgb="FFFF0000"/>
        <rFont val="Arial"/>
        <family val="2"/>
      </rPr>
      <t>(Bidder completes)</t>
    </r>
  </si>
  <si>
    <t>2.  Menus must meet food specifications and meal patterns.</t>
  </si>
  <si>
    <r>
      <t xml:space="preserve">1.  Include applicable menus for </t>
    </r>
    <r>
      <rPr>
        <b/>
        <sz val="10"/>
        <rFont val="Arial"/>
        <family val="2"/>
      </rPr>
      <t>each site</t>
    </r>
    <r>
      <rPr>
        <sz val="10"/>
        <rFont val="Arial"/>
        <family val="2"/>
      </rPr>
      <t xml:space="preserve"> and </t>
    </r>
    <r>
      <rPr>
        <b/>
        <sz val="10"/>
        <rFont val="Arial"/>
        <family val="2"/>
      </rPr>
      <t>grade level</t>
    </r>
    <r>
      <rPr>
        <sz val="10"/>
        <rFont val="Arial"/>
        <family val="2"/>
      </rPr>
      <t xml:space="preserve"> for:</t>
    </r>
  </si>
  <si>
    <t>a.  SNP breakfast, lunch and snack</t>
  </si>
  <si>
    <t>b.  CACFP breakfast, lunch, snack, and supper</t>
  </si>
  <si>
    <r>
      <t xml:space="preserve">4.  Menus must show </t>
    </r>
    <r>
      <rPr>
        <b/>
        <sz val="10"/>
        <rFont val="Arial"/>
        <family val="2"/>
      </rPr>
      <t>21 or more days</t>
    </r>
    <r>
      <rPr>
        <sz val="10"/>
        <rFont val="Arial"/>
        <family val="2"/>
      </rPr>
      <t xml:space="preserve"> of meals being served to students. </t>
    </r>
  </si>
  <si>
    <r>
      <t xml:space="preserve">5.  </t>
    </r>
    <r>
      <rPr>
        <b/>
        <sz val="10"/>
        <color rgb="FFFF0000"/>
        <rFont val="Arial"/>
        <family val="2"/>
      </rPr>
      <t>Remove all food service logos and names of staff/directors.</t>
    </r>
  </si>
  <si>
    <t xml:space="preserve">      Example for Formatting</t>
  </si>
  <si>
    <t>Points Assigned</t>
  </si>
  <si>
    <t>Enter Bid Price from lowest to highest &gt;&gt;&gt;&gt;&gt;&gt;&gt;&gt;&gt;&gt;&gt;</t>
  </si>
  <si>
    <t xml:space="preserve">Subtract lowest bid from bid above   </t>
  </si>
  <si>
    <t xml:space="preserve">Divide answer from above by lowest bid   </t>
  </si>
  <si>
    <t xml:space="preserve">Subtract answer above from 1   </t>
  </si>
  <si>
    <t xml:space="preserve">Multiply answer above by 51 or more   </t>
  </si>
  <si>
    <t>Enter Bid Price from lowest to highest &gt;&gt;&gt;&gt;&gt;&gt;&gt;&gt;&gt;&gt;&gt;&gt;</t>
  </si>
  <si>
    <t>X</t>
  </si>
  <si>
    <t>Sponsor 
Owns</t>
  </si>
  <si>
    <t xml:space="preserve">List all food service equipment used in food service and identify if it belongs to the sponsor or if it is an FSMC-provided item. </t>
  </si>
  <si>
    <r>
      <t xml:space="preserve">BID SHEET
FSMC Cost Reimbursable Contract
</t>
    </r>
    <r>
      <rPr>
        <b/>
        <u/>
        <sz val="14"/>
        <color rgb="FF0070C0"/>
        <rFont val="Arial"/>
        <family val="2"/>
      </rPr>
      <t>WITH</t>
    </r>
    <r>
      <rPr>
        <b/>
        <sz val="14"/>
        <color rgb="FF0070C0"/>
        <rFont val="Arial"/>
        <family val="2"/>
      </rPr>
      <t xml:space="preserve"> ADVANCE PAYMENT</t>
    </r>
  </si>
  <si>
    <r>
      <t xml:space="preserve">BID SHEET
FSMC Cost Reimbursable Contract
</t>
    </r>
    <r>
      <rPr>
        <b/>
        <u/>
        <sz val="14"/>
        <color rgb="FF0070C0"/>
        <rFont val="Arial"/>
        <family val="2"/>
      </rPr>
      <t>WITHOUT</t>
    </r>
    <r>
      <rPr>
        <b/>
        <sz val="14"/>
        <color rgb="FF0070C0"/>
        <rFont val="Arial"/>
        <family val="2"/>
      </rPr>
      <t xml:space="preserve"> ADVANCE PAYMENT</t>
    </r>
  </si>
  <si>
    <t>Name of Sponsor</t>
  </si>
  <si>
    <t>Directions:</t>
  </si>
  <si>
    <t>INFORMATION SECTION</t>
  </si>
  <si>
    <r>
      <rPr>
        <sz val="18"/>
        <rFont val="Arial"/>
        <family val="2"/>
      </rPr>
      <t>for the</t>
    </r>
    <r>
      <rPr>
        <b/>
        <sz val="18"/>
        <rFont val="Arial"/>
        <family val="2"/>
      </rPr>
      <t xml:space="preserve"> FSMC Cost Reimbursable RFP</t>
    </r>
  </si>
  <si>
    <t xml:space="preserve">Indirect Costs (assigned to Food Service Fund) </t>
  </si>
  <si>
    <t>District-Specific Requirements</t>
  </si>
  <si>
    <t>District-wide</t>
  </si>
  <si>
    <t>Equipment List by Site</t>
  </si>
  <si>
    <t>FSMC Hourly Employees Labor Cost</t>
  </si>
  <si>
    <t>SFA Employees Labor Cost</t>
  </si>
  <si>
    <t>FSMC Hourly Employees Fringe Benefit Cost</t>
  </si>
  <si>
    <t>SFA Employees Fringe Benefit Cost</t>
  </si>
  <si>
    <t>Other**</t>
  </si>
  <si>
    <t>FSMC On-Site Management Employees Labor Cost</t>
  </si>
  <si>
    <t>FSMC On-Site Management Employees Fringe Benefit Cost</t>
  </si>
  <si>
    <t>Labor - FSMC Hourly Employees</t>
  </si>
  <si>
    <t>Fringe Benefits - FSMC Hourly Employees</t>
  </si>
  <si>
    <t>Labor - On-Site FSMC Management Employees</t>
  </si>
  <si>
    <t>n/a</t>
  </si>
  <si>
    <t>Total Fringe</t>
  </si>
  <si>
    <r>
      <t>FOOD SERVICE ACCOUNT EXPENSES</t>
    </r>
    <r>
      <rPr>
        <sz val="10"/>
        <rFont val="Arial"/>
        <family val="2"/>
      </rPr>
      <t xml:space="preserve"> </t>
    </r>
  </si>
  <si>
    <t>Not a 
Bid Item (X)</t>
  </si>
  <si>
    <t xml:space="preserve">Utilities (assigned to Food Service Fund) </t>
  </si>
  <si>
    <t>Projected Number Sold</t>
  </si>
  <si>
    <t>Projected Number 
Sold</t>
  </si>
  <si>
    <t>Total 
Fringe</t>
  </si>
  <si>
    <t>FFVP
(X)</t>
  </si>
  <si>
    <t>Special Milk Program
(X)</t>
  </si>
  <si>
    <t>Fringe Benefits - On-Site FSMC Management Employees</t>
  </si>
  <si>
    <t xml:space="preserve">  </t>
  </si>
  <si>
    <t>Breakfast
Days</t>
  </si>
  <si>
    <t>Lunch
Days</t>
  </si>
  <si>
    <t>Snack
Days</t>
  </si>
  <si>
    <t>Supper
Days</t>
  </si>
  <si>
    <t>THESE ARE PROJECTIONS FOR THE YEAR</t>
  </si>
  <si>
    <t>Other (describe)</t>
  </si>
  <si>
    <t>FSMC
(X)</t>
  </si>
  <si>
    <t>N/A
(X)</t>
  </si>
  <si>
    <r>
      <t xml:space="preserve">Projected 
Operating Cost 
</t>
    </r>
    <r>
      <rPr>
        <b/>
        <sz val="10"/>
        <color rgb="FFFF0000"/>
        <rFont val="Arial"/>
        <family val="2"/>
      </rPr>
      <t>WITH</t>
    </r>
    <r>
      <rPr>
        <b/>
        <sz val="10"/>
        <rFont val="Arial"/>
        <family val="2"/>
      </rPr>
      <t xml:space="preserve"> 
Advance Payment
</t>
    </r>
    <r>
      <rPr>
        <b/>
        <sz val="10"/>
        <color rgb="FFFF0000"/>
        <rFont val="Arial"/>
        <family val="2"/>
      </rPr>
      <t>(Bidder completes)</t>
    </r>
  </si>
  <si>
    <t>District</t>
  </si>
  <si>
    <t>Food delivery box truck</t>
  </si>
  <si>
    <t>Cells will auto-fill</t>
  </si>
  <si>
    <r>
      <t xml:space="preserve">NOTE:  To be competitively fair and equal, please note that bidders are NOT allowed to be over-responsive in any proposed </t>
    </r>
    <r>
      <rPr>
        <b/>
        <u/>
        <sz val="12"/>
        <rFont val="Arial"/>
        <family val="2"/>
      </rPr>
      <t>management</t>
    </r>
    <r>
      <rPr>
        <b/>
        <sz val="12"/>
        <rFont val="Arial"/>
        <family val="2"/>
      </rPr>
      <t xml:space="preserve"> staffing structure.  For example, if the sponsor does not ask for an assistant food service director in the RFP, then the FSMC must not propose one.  Bidders may submit staffing questions to the sponsor by the Q&amp;A deadline so responses can be distributed fairly among all potential bidders to ensure a competitively fair and equal bidding opportunity (i.e., whether a sponsor would like bids to include an assistant director).</t>
    </r>
  </si>
  <si>
    <t>FSMC Representative Signature</t>
  </si>
  <si>
    <t>Date</t>
  </si>
  <si>
    <r>
      <rPr>
        <b/>
        <sz val="10"/>
        <rFont val="Arial"/>
        <family val="2"/>
      </rPr>
      <t xml:space="preserve">Specific food requirements (such as peanut-free, Halal, Kosher, etc.) </t>
    </r>
    <r>
      <rPr>
        <b/>
        <sz val="10"/>
        <color rgb="FF0070C0"/>
        <rFont val="Arial"/>
        <family val="2"/>
      </rPr>
      <t>(sponsor completes):</t>
    </r>
  </si>
  <si>
    <t>The Company is responsible to adhere to the most current USDA guidance at the time of bid submission and must continuously ensure meals are in compliance with USDA requirements for the duration of the contract.</t>
  </si>
  <si>
    <t>Sponsor must monitor the Company's compliance with these requirements in accordance with the terms set forth in the contract.</t>
  </si>
  <si>
    <t>Both must complete areas of the bid sheet(s).</t>
  </si>
  <si>
    <r>
      <t xml:space="preserve">Specific food quality requirements (such as lean meat, fresh vs. canned fruit, type of buns, protein restrictions, etc.) </t>
    </r>
    <r>
      <rPr>
        <b/>
        <sz val="10"/>
        <color rgb="FF0070C0"/>
        <rFont val="Arial"/>
        <family val="2"/>
      </rPr>
      <t>(sponsor completes)</t>
    </r>
    <r>
      <rPr>
        <b/>
        <sz val="10"/>
        <rFont val="Arial"/>
        <family val="2"/>
      </rPr>
      <t>:</t>
    </r>
  </si>
  <si>
    <t>Nutrition Standards for School Meals | Food and Nutrition Service</t>
  </si>
  <si>
    <t>Certification of Compliance | Food and Nutrition Service</t>
  </si>
  <si>
    <t>NSLP Guidance and Resources | Food and Nutrition Service</t>
  </si>
  <si>
    <t>Updates to the School Nutrition Standards | Food and Nutrition Service</t>
  </si>
  <si>
    <t>All student meals are free.</t>
  </si>
  <si>
    <r>
      <t xml:space="preserve">Proposed Advance Payment:
</t>
    </r>
    <r>
      <rPr>
        <b/>
        <sz val="10"/>
        <color rgb="FFFF0000"/>
        <rFont val="Arial"/>
        <family val="2"/>
      </rPr>
      <t>(Bidder completes)</t>
    </r>
  </si>
  <si>
    <t>$</t>
  </si>
  <si>
    <r>
      <t xml:space="preserve">Month/Day Annual Payment Due: 
</t>
    </r>
    <r>
      <rPr>
        <b/>
        <sz val="10"/>
        <color rgb="FFFF0000"/>
        <rFont val="Arial"/>
        <family val="2"/>
      </rPr>
      <t>(Bidder completes)</t>
    </r>
  </si>
  <si>
    <t>FSMC Administrative Fee</t>
  </si>
  <si>
    <t>or</t>
  </si>
  <si>
    <t>COST PER MONTH</t>
  </si>
  <si>
    <t>COST PER MEAL /
MEAL EQUIVALENT</t>
  </si>
  <si>
    <t>Monthly Fee 
(10 months)</t>
  </si>
  <si>
    <t>Monthly Fee 
(12 months)</t>
  </si>
  <si>
    <t>Sponsor must attach the following policies and procedures to this bid packet in PDF format:</t>
  </si>
  <si>
    <r>
      <t xml:space="preserve">3.  Menus must specify </t>
    </r>
    <r>
      <rPr>
        <b/>
        <sz val="10"/>
        <rFont val="Arial"/>
        <family val="2"/>
      </rPr>
      <t>AT LEAST TWO milk choices (for SNP)</t>
    </r>
    <r>
      <rPr>
        <sz val="10"/>
        <rFont val="Arial"/>
        <family val="2"/>
      </rPr>
      <t xml:space="preserve"> and indicate all juice served is 100% vegetable/fruit juice.</t>
    </r>
  </si>
  <si>
    <t>6.  These menus MUST be used for the first 21-day cycle of the new school year.</t>
  </si>
  <si>
    <t xml:space="preserve">Next School Year's Consortia Election:  </t>
  </si>
  <si>
    <t>Describe any major changes that took place in the district in the last two years that might have impacted USDA Food Entitlement Usage.  For example, did the district's special dietary needs change or enrollment increase/decrease significantly?</t>
  </si>
  <si>
    <t xml:space="preserve">Last School Year's Total Delivery Fee Amount:  </t>
  </si>
  <si>
    <r>
      <t xml:space="preserve">The Bid Point Calculator and Evaluation Criteria Matrix is used to advise potential bidders of the value placed on non-price criteria items, which are used during the evaluation process. </t>
    </r>
    <r>
      <rPr>
        <b/>
        <sz val="12"/>
        <rFont val="Arial"/>
        <family val="2"/>
      </rPr>
      <t xml:space="preserve">Non-price criteria items </t>
    </r>
    <r>
      <rPr>
        <b/>
        <u/>
        <sz val="12"/>
        <rFont val="Arial"/>
        <family val="2"/>
      </rPr>
      <t>must</t>
    </r>
    <r>
      <rPr>
        <b/>
        <sz val="12"/>
        <rFont val="Arial"/>
        <family val="2"/>
      </rPr>
      <t xml:space="preserve"> be completed prior to submission to MDE for review.</t>
    </r>
  </si>
  <si>
    <t>Insert School Sponsor Name in this cell</t>
  </si>
  <si>
    <t>After bids are submitted by companies, the Bid Point Calculator and Evaluation Criteria Matrix is used to calculate which bidder will be awarded the contract.  The bidder with the maximum number of points, not necessarily the lowest price, will be awarded the contract upon MDE review and approval.</t>
  </si>
  <si>
    <r>
      <t xml:space="preserve">Tabs in light teal must be completed by the </t>
    </r>
    <r>
      <rPr>
        <b/>
        <sz val="12"/>
        <color rgb="FF0070C0"/>
        <rFont val="Arial"/>
        <family val="2"/>
      </rPr>
      <t>sponsor</t>
    </r>
    <r>
      <rPr>
        <b/>
        <sz val="12"/>
        <rFont val="Arial"/>
        <family val="2"/>
      </rPr>
      <t>.</t>
    </r>
  </si>
  <si>
    <t>The Sponsor representative will fill out each tab of the Information Section as applicable and include it in the contract bid packet. This will represent all information about cost, equipment, income, and service needs.</t>
  </si>
  <si>
    <r>
      <t>1. Procurement/Purchasing Policies</t>
    </r>
    <r>
      <rPr>
        <b/>
        <u/>
        <sz val="10"/>
        <color rgb="FFFF0000"/>
        <rFont val="Arial"/>
        <family val="2"/>
      </rPr>
      <t xml:space="preserve"> AND</t>
    </r>
    <r>
      <rPr>
        <sz val="10"/>
        <rFont val="Arial"/>
        <family val="2"/>
      </rPr>
      <t xml:space="preserve"> Procedures</t>
    </r>
  </si>
  <si>
    <t>2. Written Code of Conduct/Conflict of Interest Policy (related to food service procurement/contract awards; may be part of the Procurement/Purchasing policies)</t>
  </si>
  <si>
    <t>3. Small Purchase Thresholds (may be part of the Procurement/Purchasing policies and/or procedures)</t>
  </si>
  <si>
    <t>4. Bid Protest Policy or Procedure (may be part of the Procurement/Purchasing policies and/or procedures)</t>
  </si>
  <si>
    <t>6. Bad Debt Policy (required even if all meals are free to students)</t>
  </si>
  <si>
    <t>5. Meal Charge Policy (required even if all meals are free to students)</t>
  </si>
  <si>
    <t>Experience working with Farm to School programming, including Farm to School grants, education, and local purchasing</t>
  </si>
  <si>
    <t xml:space="preserve">District-Specific Requirements </t>
  </si>
  <si>
    <t>Use of promotions/promotional events (posters, theme days, branding, student taste testing)</t>
  </si>
  <si>
    <t>Plan for Marketing and Merchandising</t>
  </si>
  <si>
    <t>Knowledge and ability to work with union employees and collective bargaining agreements</t>
  </si>
  <si>
    <t>Food Service Manager/Director Candidate</t>
  </si>
  <si>
    <t>Frequency of area manager presence at the district</t>
  </si>
  <si>
    <t>Level of support and guidance provided to on-site food service manager/director by FSMC area manager</t>
  </si>
  <si>
    <t>Level of support and guidance provided to area manager from FSMC upper level management</t>
  </si>
  <si>
    <t>Methods used to monitor food and non-food costs</t>
  </si>
  <si>
    <t>Methods used to monitor labor costs</t>
  </si>
  <si>
    <t>Financial reports for revenue and costs (monthly, quarterly, etc.)</t>
  </si>
  <si>
    <t>Experience providing catering services outside the school district (Head Start, Meals on Wheels, adult daycare, community centers, child daycare, etc.)</t>
  </si>
  <si>
    <t>Facility layout and design recommendations in relation to proposed menu and population being served</t>
  </si>
  <si>
    <t>Plan of Operation and Recommendations</t>
  </si>
  <si>
    <t xml:space="preserve">Ability to incorporate district's wellness plan in menu choices offered </t>
  </si>
  <si>
    <t>Staffing recommendations and provisions (such as a chef, assistant director, administrative assistant, etc.)</t>
  </si>
  <si>
    <t>Experience working with Point of Service (POS) systems (technological support/back-up)</t>
  </si>
  <si>
    <t>Support by FSMC Area Manager</t>
  </si>
  <si>
    <t>Professional development provided to food service manager/director candidate (workshops, continuing education, etc.)</t>
  </si>
  <si>
    <t>Experience working in school foodservice (i.e., five years or more)</t>
  </si>
  <si>
    <t>Alternate menu choices/offerings (i.e., low fat, low sodium)</t>
  </si>
  <si>
    <t>Description of methods to obtain and plans to use student/staff/parent feedback/preferences</t>
  </si>
  <si>
    <t>Ease and ability to travel to district upon request (i.e., lives within 50 miles of the district)</t>
  </si>
  <si>
    <t>Implementation of Hazard Analysis and Critical Control Points (HACCP) Plan</t>
  </si>
  <si>
    <r>
      <t xml:space="preserve">Note: If the school sponsor is or will be a participant of the Fresh Fruit and Vegetable Program (FFVP), the </t>
    </r>
    <r>
      <rPr>
        <b/>
        <u/>
        <sz val="10"/>
        <color rgb="FFFF0000"/>
        <rFont val="Arial"/>
        <family val="2"/>
      </rPr>
      <t>bidder</t>
    </r>
    <r>
      <rPr>
        <b/>
        <sz val="10"/>
        <rFont val="Arial"/>
        <family val="2"/>
      </rPr>
      <t xml:space="preserve"> must submit a FFVP cycle menu based on FNS guidance as a part of its proposal.</t>
    </r>
  </si>
  <si>
    <t>Budget Forecasting and Costs</t>
  </si>
  <si>
    <t>Experience providing catering/vended meal services outside the district</t>
  </si>
  <si>
    <t>Experience in kitchen/food service layout and design for new construction projects</t>
  </si>
  <si>
    <t>Experience working with Farm to School programming</t>
  </si>
  <si>
    <t>NAME OF SCHOOL SPONSOR</t>
  </si>
  <si>
    <r>
      <t xml:space="preserve">BID POINT CALCULATOR AND EVALUATION CRITERIA MATRIX
</t>
    </r>
    <r>
      <rPr>
        <b/>
        <sz val="18"/>
        <color rgb="FF0070C0"/>
        <rFont val="Arial"/>
        <family val="2"/>
      </rPr>
      <t>(to be completed by School Sponsor)</t>
    </r>
  </si>
  <si>
    <r>
      <rPr>
        <b/>
        <u/>
        <sz val="20"/>
        <rFont val="Arial"/>
        <family val="2"/>
      </rPr>
      <t>Do not copy and paste</t>
    </r>
    <r>
      <rPr>
        <b/>
        <sz val="20"/>
        <rFont val="Arial"/>
        <family val="2"/>
      </rPr>
      <t xml:space="preserve"> these sample non-price criteria and sub-criteria items onto your own Bid Point Calculator.  These are meant to be shown as examples for formatting only.</t>
    </r>
  </si>
  <si>
    <t>Innovative ways of providing quick and efficient service</t>
  </si>
  <si>
    <t>Use of promotions/promotional events (posters, theme days, student taste testing)</t>
  </si>
  <si>
    <t>Operation Recommendations</t>
  </si>
  <si>
    <t>Facility layout/design recommendations in relation to proposed menu and population being served</t>
  </si>
  <si>
    <t>Food safety and sanitation training</t>
  </si>
  <si>
    <t>Frequency of area manager presence at the district (at least once per week)</t>
  </si>
  <si>
    <t>Ease and ability to travel to district upon request (lives within 50 miles of district)</t>
  </si>
  <si>
    <t>Knowledge and ability to work with union employees</t>
  </si>
  <si>
    <t>Expendable</t>
  </si>
  <si>
    <t>Non-Expendable</t>
  </si>
  <si>
    <t>Middle School</t>
  </si>
  <si>
    <t>Elementary School</t>
  </si>
  <si>
    <t>Three-pan steamer (2)</t>
  </si>
  <si>
    <t>Delivery van</t>
  </si>
  <si>
    <t>Refrigerator (2)</t>
  </si>
  <si>
    <t>Plastic cart</t>
  </si>
  <si>
    <t>Toaster</t>
  </si>
  <si>
    <t>Refrigerator</t>
  </si>
  <si>
    <t>Cookware, bakeware, cookie sheets, etc.</t>
  </si>
  <si>
    <t>Hairnets, face masks, gloves</t>
  </si>
  <si>
    <t>Metal and plastic mixing and serving bowls</t>
  </si>
  <si>
    <r>
      <t xml:space="preserve">EQUIPMENT INVENTORY LIST
</t>
    </r>
    <r>
      <rPr>
        <b/>
        <sz val="14"/>
        <color rgb="FF0070C0"/>
        <rFont val="Arial"/>
        <family val="2"/>
      </rPr>
      <t>(to be completed by School Sponsor)</t>
    </r>
  </si>
  <si>
    <t>EXAMPLE for formatting only - do not copy and paste</t>
  </si>
  <si>
    <t>FSMC Provides</t>
  </si>
  <si>
    <t>Sponsor Owns</t>
  </si>
  <si>
    <r>
      <t xml:space="preserve">VENDED CONTRACTS/AGREEMENTS
</t>
    </r>
    <r>
      <rPr>
        <b/>
        <sz val="14"/>
        <color rgb="FF0070C0"/>
        <rFont val="Arial"/>
        <family val="2"/>
      </rPr>
      <t>(to be completed by School Sponsor)</t>
    </r>
  </si>
  <si>
    <r>
      <t xml:space="preserve">USDA FOODS INFORMATION
</t>
    </r>
    <r>
      <rPr>
        <b/>
        <sz val="14"/>
        <color rgb="FF0070C0"/>
        <rFont val="Arial"/>
        <family val="2"/>
      </rPr>
      <t>(to be completed by School Sponsor)</t>
    </r>
  </si>
  <si>
    <r>
      <t xml:space="preserve">School Sponsor will include the most recent </t>
    </r>
    <r>
      <rPr>
        <b/>
        <u/>
        <sz val="10"/>
        <color rgb="FF0070C0"/>
        <rFont val="Arial"/>
        <family val="2"/>
      </rPr>
      <t>Year-End</t>
    </r>
    <r>
      <rPr>
        <b/>
        <sz val="10"/>
        <color rgb="FF0070C0"/>
        <rFont val="Arial"/>
        <family val="2"/>
      </rPr>
      <t xml:space="preserve"> PAL Report in the bid packet.</t>
    </r>
  </si>
  <si>
    <t>Name of School Sponsor</t>
  </si>
  <si>
    <r>
      <t xml:space="preserve">This sample demonstrates how the sponsor should </t>
    </r>
    <r>
      <rPr>
        <b/>
        <u/>
        <sz val="14"/>
        <rFont val="Calibri"/>
        <family val="2"/>
      </rPr>
      <t xml:space="preserve">format </t>
    </r>
    <r>
      <rPr>
        <b/>
        <sz val="14"/>
        <rFont val="Calibri"/>
        <family val="2"/>
      </rPr>
      <t>the non-price criteria on the bid point calculator. The sponsor should not use the exact non-price criteria listed here, but should use specific factors it will use to make its decision for award.</t>
    </r>
  </si>
  <si>
    <t>Two-door freezer</t>
  </si>
  <si>
    <t>Slushie Machine</t>
  </si>
  <si>
    <r>
      <rPr>
        <b/>
        <u/>
        <sz val="10"/>
        <rFont val="Arial"/>
        <family val="2"/>
      </rPr>
      <t>CATERING SERVICE CONTRACTS/AGREEMENTS</t>
    </r>
    <r>
      <rPr>
        <b/>
        <sz val="10"/>
        <rFont val="Arial"/>
        <family val="2"/>
      </rPr>
      <t xml:space="preserve">:  List sites/entities that receive catered/vended meals via a catering service contract or agreement (such as a head start or great start readiness program, child or adult daycare center, juvenile detention center, Meals on Wheels, church group, etc.). </t>
    </r>
  </si>
  <si>
    <t>Name of Site/Entity</t>
  </si>
  <si>
    <t>Site/Entity Street Address
City, Zip Code</t>
  </si>
  <si>
    <r>
      <t xml:space="preserve">Approximate Number of Meals Provided 
</t>
    </r>
    <r>
      <rPr>
        <b/>
        <u/>
        <sz val="14"/>
        <color rgb="FF0070C0"/>
        <rFont val="Arial"/>
        <family val="2"/>
      </rPr>
      <t>DAILY</t>
    </r>
  </si>
  <si>
    <r>
      <t xml:space="preserve">Anticipated </t>
    </r>
    <r>
      <rPr>
        <b/>
        <u/>
        <sz val="10"/>
        <rFont val="Arial"/>
        <family val="2"/>
      </rPr>
      <t>Yearly</t>
    </r>
    <r>
      <rPr>
        <b/>
        <sz val="10"/>
        <rFont val="Arial"/>
        <family val="2"/>
      </rPr>
      <t xml:space="preserve"> 
Dollar ($) Value 
of Contract</t>
    </r>
  </si>
  <si>
    <t>TOTAL*</t>
  </si>
  <si>
    <t>*The total dollar value will transfer to the Projected Revenue tab under Local Revenue/Catering Service Contracts/Agreements.</t>
  </si>
  <si>
    <t>Name of LEA</t>
  </si>
  <si>
    <t>Name of Site(s)</t>
  </si>
  <si>
    <t>Site Street Address
City, Zip Code</t>
  </si>
  <si>
    <t>Name of Receiving Sponsor</t>
  </si>
  <si>
    <r>
      <t xml:space="preserve">Site Name
</t>
    </r>
    <r>
      <rPr>
        <b/>
        <sz val="10"/>
        <color rgb="FF0070C0"/>
        <rFont val="Arial"/>
        <family val="2"/>
      </rPr>
      <t xml:space="preserve">List all sites that serve meals, including those sites indicated on Tab 6 for Vended Contracts/Agreements. </t>
    </r>
  </si>
  <si>
    <t>Indicate Site's Claiming Status 
(X as appropriate)</t>
  </si>
  <si>
    <t>Total Enrollment Number</t>
  </si>
  <si>
    <t>SNP After School
Snack
(X)</t>
  </si>
  <si>
    <t>CACFP</t>
  </si>
  <si>
    <t>SFSP</t>
  </si>
  <si>
    <t>Own Site - this sponsor claims</t>
  </si>
  <si>
    <t>Catering Service Contract/Agrmt - other sponsor may or may not claim</t>
  </si>
  <si>
    <t>Alternate Agreement - this sponsor claims</t>
  </si>
  <si>
    <t>Vended Meals Contract - other sponsor claims</t>
  </si>
  <si>
    <t>Full Serve* 
(X)</t>
  </si>
  <si>
    <t>Offer vs Serve* 
(X)</t>
  </si>
  <si>
    <t>A la 
Carte 
(X)</t>
  </si>
  <si>
    <t>Adult Meals 
(X)</t>
  </si>
  <si>
    <t>Full Serve*
(X)</t>
  </si>
  <si>
    <t>Offer vs Serve*
(X)</t>
  </si>
  <si>
    <t>A la 
Carte
(X)</t>
  </si>
  <si>
    <t>Adult Meals
(X)</t>
  </si>
  <si>
    <t>BREAKFAST
(X)</t>
  </si>
  <si>
    <t>LUNCH
(X)</t>
  </si>
  <si>
    <t>SNACK
(X)</t>
  </si>
  <si>
    <t>SUPPER
(X)</t>
  </si>
  <si>
    <r>
      <t xml:space="preserve">RESPONSIBILITY DETAILS
</t>
    </r>
    <r>
      <rPr>
        <b/>
        <sz val="14"/>
        <color rgb="FF0070C0"/>
        <rFont val="Arial"/>
        <family val="2"/>
      </rPr>
      <t>(to be completed by School Sponsor)</t>
    </r>
  </si>
  <si>
    <t xml:space="preserve">RESPONSIBILITY  </t>
  </si>
  <si>
    <t>Cleaning</t>
  </si>
  <si>
    <t>Preparation/Serving Areas</t>
  </si>
  <si>
    <t>Kitchen Restrooms</t>
  </si>
  <si>
    <t>Cafeteria Floors</t>
  </si>
  <si>
    <t>Labor/Benefits - Processing and Payment of Payroll</t>
  </si>
  <si>
    <t>Managers and/or Supervisors (salaried)</t>
  </si>
  <si>
    <t>Full and Part-time Workers (hourly)</t>
  </si>
  <si>
    <t>Monitors (employed or contracted)</t>
  </si>
  <si>
    <t>Other Expenses</t>
  </si>
  <si>
    <t>Accounting</t>
  </si>
  <si>
    <t>Bank Charges</t>
  </si>
  <si>
    <t>Data Processing</t>
  </si>
  <si>
    <t>Recordkeeping</t>
  </si>
  <si>
    <t>Equipment - Major</t>
  </si>
  <si>
    <t>Original Purchase</t>
  </si>
  <si>
    <t>Routine Maintenance</t>
  </si>
  <si>
    <t>Major Repairs</t>
  </si>
  <si>
    <t>Replacement</t>
  </si>
  <si>
    <t>Equipment - Expendable (i.e., trays, tableware, utensils, etc.)</t>
  </si>
  <si>
    <t xml:space="preserve">Insurance </t>
  </si>
  <si>
    <t xml:space="preserve">Liability Insurance </t>
  </si>
  <si>
    <t>Laundry and Linen</t>
  </si>
  <si>
    <t>Office Materials</t>
  </si>
  <si>
    <t>Postage</t>
  </si>
  <si>
    <t>Printing</t>
  </si>
  <si>
    <t>Promotional Materials</t>
  </si>
  <si>
    <t>Training</t>
  </si>
  <si>
    <t>Transportation of Meals</t>
  </si>
  <si>
    <t>Travel</t>
  </si>
  <si>
    <t>Utilities</t>
  </si>
  <si>
    <t>Vehicles</t>
  </si>
  <si>
    <t>Fuel</t>
  </si>
  <si>
    <t>Maintenance and Repairs</t>
  </si>
  <si>
    <r>
      <t xml:space="preserve">CURRENT OPERATIONS - LABOR AND FRINGE BENEFITS WORKSHEET
School Year 2025-2026 (Current)
</t>
    </r>
    <r>
      <rPr>
        <b/>
        <sz val="14"/>
        <color rgb="FF0070C0"/>
        <rFont val="Arial"/>
        <family val="2"/>
      </rPr>
      <t>(to be completed by School Sponsor)</t>
    </r>
  </si>
  <si>
    <r>
      <rPr>
        <b/>
        <sz val="14"/>
        <rFont val="Arial"/>
        <family val="2"/>
      </rPr>
      <t>PROJECTED COSTS FOR SY 2026-2027</t>
    </r>
    <r>
      <rPr>
        <b/>
        <sz val="14"/>
        <color rgb="FF0070C0"/>
        <rFont val="Arial"/>
        <family val="2"/>
      </rPr>
      <t xml:space="preserve">
(to be completed by School Sponsor)</t>
    </r>
  </si>
  <si>
    <r>
      <t xml:space="preserve">TOTAL PROJECTED ANNUAL COST 
</t>
    </r>
    <r>
      <rPr>
        <sz val="10"/>
        <rFont val="Arial"/>
        <family val="2"/>
      </rPr>
      <t>(for SY 26-27)</t>
    </r>
  </si>
  <si>
    <t>Transportation/Vehicle Costs (fuel, maintenance, repairs)</t>
  </si>
  <si>
    <r>
      <t xml:space="preserve">Other Expenses </t>
    </r>
    <r>
      <rPr>
        <sz val="10"/>
        <color rgb="FFFF0000"/>
        <rFont val="Arial"/>
        <family val="2"/>
      </rPr>
      <t>(insert detail)</t>
    </r>
  </si>
  <si>
    <t xml:space="preserve">Total Projected Expenses for SY 2026-2027  </t>
  </si>
  <si>
    <t xml:space="preserve">MDE will enter the yearly projections for the number sold amounts, which are based on claims for the month(s) of October 2025 for SNP/CACFP and June/July/August 2025 for SFSP.  </t>
  </si>
  <si>
    <r>
      <t xml:space="preserve">Projected total number of days for the 
</t>
    </r>
    <r>
      <rPr>
        <b/>
        <u/>
        <sz val="10"/>
        <rFont val="Arial"/>
        <family val="2"/>
      </rPr>
      <t>2026-2027</t>
    </r>
    <r>
      <rPr>
        <b/>
        <sz val="10"/>
        <rFont val="Arial"/>
        <family val="2"/>
      </rPr>
      <t xml:space="preserve"> school year</t>
    </r>
  </si>
  <si>
    <t>Other Local Revenue - Sponsor enter the projections for the 26-27 school year</t>
  </si>
  <si>
    <t>Federal Rates for SY 25-26</t>
  </si>
  <si>
    <t>30d Michigan School Meals Breakfast and Lunch</t>
  </si>
  <si>
    <r>
      <t xml:space="preserve">PROPOSED OPERATIONS - FSMC LABOR AND FRINGE BENEFITS WORKSHEET
School Year 2026-2027
</t>
    </r>
    <r>
      <rPr>
        <b/>
        <sz val="14"/>
        <color rgb="FFFF0000"/>
        <rFont val="Arial"/>
        <family val="2"/>
      </rPr>
      <t>(to be completed by Bidder)</t>
    </r>
  </si>
  <si>
    <t>Food Cost for SNP, CACFP, and SFSP Meals (including commodities delivery charge)</t>
  </si>
  <si>
    <t>Food Cost for FFVP</t>
  </si>
  <si>
    <t xml:space="preserve">Non-Food Cost for SNP, CACFP, and SFSP (supplies and other materials) </t>
  </si>
  <si>
    <t>Non-Food Cost for FFVP (supplies and other materials)</t>
  </si>
  <si>
    <t>Food Cost for SNP, CACFP, and SFSP Meals (including commodities delivery charge) (net of VDA/rebates)</t>
  </si>
  <si>
    <t>Food Cost for FFVP (as defined in RFP)</t>
  </si>
  <si>
    <t>Sponsor is contracting for the 
expenses indicated as Bid Items below</t>
  </si>
  <si>
    <t>Non-Food Cost for FFVP (supplies and other materials) (as defined in RFP)</t>
  </si>
  <si>
    <t xml:space="preserve">Bidder will use the correct column to indicate if fees will be billed over a 10-month period, 12-month period, or by cost per meal/meal equivalent. Do not indicate costs in all 3 columns for each fee. 
</t>
  </si>
  <si>
    <r>
      <rPr>
        <b/>
        <sz val="12"/>
        <rFont val="Arial"/>
        <family val="2"/>
      </rPr>
      <t xml:space="preserve">School Year 2026-2027 Rates </t>
    </r>
    <r>
      <rPr>
        <b/>
        <sz val="10"/>
        <rFont val="Arial"/>
        <family val="2"/>
      </rPr>
      <t xml:space="preserve">
</t>
    </r>
    <r>
      <rPr>
        <sz val="10"/>
        <rFont val="Arial"/>
        <family val="2"/>
      </rPr>
      <t>[will match the</t>
    </r>
    <r>
      <rPr>
        <b/>
        <sz val="10"/>
        <color rgb="FFFF0000"/>
        <rFont val="Arial"/>
        <family val="2"/>
      </rPr>
      <t xml:space="preserve"> current</t>
    </r>
    <r>
      <rPr>
        <sz val="10"/>
        <rFont val="Arial"/>
        <family val="2"/>
      </rPr>
      <t xml:space="preserve"> rates on the 
SY 27-28 Renewal Rate Agreement Form (if renewed)]</t>
    </r>
  </si>
  <si>
    <t>SPONSOR
(X)</t>
  </si>
  <si>
    <t>Routine Cleaning of Cafeteria Tables and Chairs</t>
  </si>
  <si>
    <t>USDA Foods/Commodity Delivery and Processing Charges</t>
  </si>
  <si>
    <t>Student/staff/parent satisfaction with quality, appearance, and taste of food served</t>
  </si>
  <si>
    <r>
      <t xml:space="preserve">SITE DEMOGRAPHICS AND PROGRAM PARTICIPATION
</t>
    </r>
    <r>
      <rPr>
        <b/>
        <sz val="14"/>
        <color rgb="FF0070C0"/>
        <rFont val="Arial"/>
        <family val="2"/>
      </rPr>
      <t>(to be completed by School Sponsor)</t>
    </r>
  </si>
  <si>
    <r>
      <rPr>
        <b/>
        <u/>
        <sz val="10"/>
        <rFont val="Arial"/>
        <family val="2"/>
      </rPr>
      <t>ALTERNATE AGREEMENTS</t>
    </r>
    <r>
      <rPr>
        <b/>
        <sz val="10"/>
        <rFont val="Arial"/>
        <family val="2"/>
      </rPr>
      <t>:  List sites that receive vended meals via an alternate agreement.</t>
    </r>
    <r>
      <rPr>
        <b/>
        <sz val="10"/>
        <color theme="3" tint="0.39997558519241921"/>
        <rFont val="Arial"/>
        <family val="2"/>
      </rPr>
      <t xml:space="preserve"> </t>
    </r>
    <r>
      <rPr>
        <b/>
        <u/>
        <sz val="10"/>
        <color rgb="FF0070C0"/>
        <rFont val="Arial"/>
        <family val="2"/>
      </rPr>
      <t>Include program meal details on Sites and Programs tab 7.</t>
    </r>
    <r>
      <rPr>
        <b/>
        <sz val="10"/>
        <rFont val="Arial"/>
        <family val="2"/>
      </rPr>
      <t xml:space="preserve">
NOTE: An alternate agreement is where one school district becomes a site under another district. The receiving district is considered the local education authority (LEA), and they get their meals delivered by the other district, who is the sponsor. The sponsor manages the LEA’s food program and includes the LEA as a site in their own coordinated application. The sponsor claims the meals and receives the reimbursements.  </t>
    </r>
  </si>
  <si>
    <r>
      <rPr>
        <b/>
        <u/>
        <sz val="10"/>
        <rFont val="Arial"/>
        <family val="2"/>
      </rPr>
      <t>VENDED MEALS CONTRACT</t>
    </r>
    <r>
      <rPr>
        <b/>
        <sz val="10"/>
        <rFont val="Arial"/>
        <family val="2"/>
      </rPr>
      <t xml:space="preserve">:  List sites that receive vended meals via a vended meals contract. </t>
    </r>
    <r>
      <rPr>
        <b/>
        <u/>
        <sz val="10"/>
        <color rgb="FF0070C0"/>
        <rFont val="Arial"/>
        <family val="2"/>
      </rPr>
      <t>Include program meal details on Sites and Programs tab 7</t>
    </r>
    <r>
      <rPr>
        <b/>
        <sz val="10"/>
        <color rgb="FF0070C0"/>
        <rFont val="Arial"/>
        <family val="2"/>
      </rPr>
      <t>.</t>
    </r>
    <r>
      <rPr>
        <b/>
        <sz val="10"/>
        <rFont val="Arial"/>
        <family val="2"/>
      </rPr>
      <t xml:space="preserve"> 
NOTE: With a vended meals contract, one sponsor is awarded a contract from another sponsor that went through the contract bid process to procure vended meals. The contract will indicate a price per meal fee paid to the vending sponsor by the receiving sponsor. The receiving sponsor manages and oversees its own food service program, does its own coordinated application, claims its own meals and receives the reimbursements.  Per contract terms, the vending sponsor provides meals and supplies to the receiving sponsor. The contract may or may not include meal delivery and/or servers. </t>
    </r>
  </si>
  <si>
    <t>Projected costs are based on ____ days of service in SY 2025-2026.</t>
  </si>
  <si>
    <r>
      <rPr>
        <b/>
        <u/>
        <sz val="12"/>
        <color rgb="FF000000"/>
        <rFont val="Calibri"/>
        <family val="2"/>
      </rPr>
      <t>REQUIRED POLICIES AND PROCEDURES (FSMC contracts):</t>
    </r>
    <r>
      <rPr>
        <sz val="12"/>
        <color rgb="FF000000"/>
        <rFont val="Calibri"/>
        <family val="2"/>
      </rPr>
      <t xml:space="preserve">  As part of the draft packet of documents sent to MDE for pre-approval, all sponsors must include 1) </t>
    </r>
    <r>
      <rPr>
        <b/>
        <sz val="12"/>
        <color rgb="FF000000"/>
        <rFont val="Calibri"/>
        <family val="2"/>
      </rPr>
      <t xml:space="preserve">procurement/purchasing policies AND procedures </t>
    </r>
    <r>
      <rPr>
        <sz val="12"/>
        <color rgb="FF000000"/>
        <rFont val="Calibri"/>
        <family val="2"/>
      </rPr>
      <t xml:space="preserve">– must address the procedures sponsor staff must follow when procuring and purchasing goods and/or services, including requirements for micro-purchasing, formal and informal procurement, emergency purchasing, Buy American Provision, Geographic Preference, Minority and Women’s Businesses, etc.; 2) </t>
    </r>
    <r>
      <rPr>
        <b/>
        <sz val="12"/>
        <color rgb="FF000000"/>
        <rFont val="Calibri"/>
        <family val="2"/>
      </rPr>
      <t xml:space="preserve">written code of conduct/conflict of interest policy </t>
    </r>
    <r>
      <rPr>
        <sz val="12"/>
        <color rgb="FF000000"/>
        <rFont val="Calibri"/>
        <family val="2"/>
      </rPr>
      <t xml:space="preserve">- must specifically relate to the conduct of staff involved in purchasing goods and/or services (do not include a student’s code of conduct), must address a sponsor’s expectations for how staff should and should not conduct themselves during any procurement process, and must specify that there will not be any conflict of interest for anyone involved in the procurement or award processes; 3) </t>
    </r>
    <r>
      <rPr>
        <b/>
        <sz val="12"/>
        <color rgb="FF000000"/>
        <rFont val="Calibri"/>
        <family val="2"/>
      </rPr>
      <t xml:space="preserve">small purchase thresholds </t>
    </r>
    <r>
      <rPr>
        <sz val="12"/>
        <color rgb="FF000000"/>
        <rFont val="Calibri"/>
        <family val="2"/>
      </rPr>
      <t xml:space="preserve">– must specific the sponsor’s small purchase threshold dollar amount(s) and the procurement methods used by the sponsor based on purchase thresholds, and must be included in the bid packet even if the thresholds are the same as those required by state/federal guidance; 4) </t>
    </r>
    <r>
      <rPr>
        <b/>
        <sz val="12"/>
        <color rgb="FF000000"/>
        <rFont val="Calibri"/>
        <family val="2"/>
      </rPr>
      <t xml:space="preserve">bid protest policy or procedure </t>
    </r>
    <r>
      <rPr>
        <sz val="12"/>
        <color rgb="FF000000"/>
        <rFont val="Calibri"/>
        <family val="2"/>
      </rPr>
      <t xml:space="preserve">– must specify how bid protests are handled, including protest submission timelines, how and to whom protests should be submitted, etc. (keep in mind that the scope of the bid protest can only include the </t>
    </r>
    <r>
      <rPr>
        <u/>
        <sz val="12"/>
        <color rgb="FF000000"/>
        <rFont val="Calibri"/>
        <family val="2"/>
      </rPr>
      <t>actual bid process</t>
    </r>
    <r>
      <rPr>
        <sz val="12"/>
        <color rgb="FF000000"/>
        <rFont val="Calibri"/>
        <family val="2"/>
      </rPr>
      <t xml:space="preserve">, it doesn’t usually include the evaluation or scoring used in the award determination); 5) </t>
    </r>
    <r>
      <rPr>
        <b/>
        <sz val="12"/>
        <color rgb="FF000000"/>
        <rFont val="Calibri"/>
        <family val="2"/>
      </rPr>
      <t xml:space="preserve">meal charge policy </t>
    </r>
    <r>
      <rPr>
        <sz val="12"/>
        <color rgb="FF000000"/>
        <rFont val="Calibri"/>
        <family val="2"/>
      </rPr>
      <t xml:space="preserve">– outlines how a sponsor provides meals to students with insufficient funds and how debt is collected; and 6) </t>
    </r>
    <r>
      <rPr>
        <b/>
        <sz val="12"/>
        <color rgb="FF000000"/>
        <rFont val="Calibri"/>
        <family val="2"/>
      </rPr>
      <t xml:space="preserve">bad debt policy </t>
    </r>
    <r>
      <rPr>
        <sz val="12"/>
        <color rgb="FF000000"/>
        <rFont val="Calibri"/>
        <family val="2"/>
      </rPr>
      <t>– identifies a sponsor’s collection efforts for student unpaid meal charges and outlines the procedure used to write off unallowable bad debt.</t>
    </r>
  </si>
  <si>
    <t>Self-Prep
OR 
Receives Satellite/Vended Meals (list site that prepares meals)</t>
  </si>
  <si>
    <t>Enter the TOTAL labor and fringe benefit cost for all FSMC-employed Salaried Management Staff in this section (i.e., director, assistant director, chef, administrative assistant, etc.).  
Insert additional rows as needed.</t>
  </si>
  <si>
    <t>Sponsor's Total Annual Substitute Pay</t>
  </si>
  <si>
    <t>FSMC's Total Annual Substitute Pay</t>
  </si>
  <si>
    <t>*Include staffing for ALL programs (CACFP, SFSP, SNP).  **Include paid time off (PTO), holiday pay, and sick pay.</t>
  </si>
  <si>
    <t>TOTAL - Sponsor's Hourly/Salaried Staff Labor and Fringe Benefit Costs</t>
  </si>
  <si>
    <t>TOTAL - FSMC's Hourly Staff Labor and Fringe Benefit Costs</t>
  </si>
  <si>
    <t>TOTAL - FSMC's Management Staff Labor and Fringe Benefit Costs</t>
  </si>
  <si>
    <r>
      <t xml:space="preserve">Enter </t>
    </r>
    <r>
      <rPr>
        <b/>
        <u/>
        <sz val="11"/>
        <rFont val="Arial"/>
        <family val="2"/>
      </rPr>
      <t>TOTAL</t>
    </r>
    <r>
      <rPr>
        <b/>
        <sz val="11"/>
        <rFont val="Arial"/>
        <family val="2"/>
      </rPr>
      <t xml:space="preserve"> below for
annual wages and fringe benefit costs for all 
salaried management employees </t>
    </r>
    <r>
      <rPr>
        <b/>
        <u/>
        <sz val="11"/>
        <rFont val="Arial"/>
        <family val="2"/>
      </rPr>
      <t>combined</t>
    </r>
    <r>
      <rPr>
        <b/>
        <sz val="11"/>
        <rFont val="Arial"/>
        <family val="2"/>
      </rPr>
      <t>.  
Do not enter costs separately for each management employee.</t>
    </r>
  </si>
  <si>
    <t>Enter labor and fringe benefit costs for all FSMC-Employed Hourly Staff in this section.  Insert additional rows as needed.</t>
  </si>
  <si>
    <t>Enter labor and fringe benefit costs for all Sponsor-Employed Hourly/Salaried Staff in this section.  Insert additional rows as needed.</t>
  </si>
  <si>
    <t>Enter labor and fringe benefit costs for all FSMC-Employed Salaried Management Staff in this section (i.e., director, assistant director, chef, administrative assistant, etc.) 
Insert additional rows as needed.</t>
  </si>
  <si>
    <t>Plan for monitoring costs, financial reporting, and forecasting</t>
  </si>
  <si>
    <t>Demonstrated knowledge of Child Nutrition Program regulations</t>
  </si>
  <si>
    <t>Presentation/Interview Evaluation</t>
  </si>
  <si>
    <t>Demonstrated awareness and familiarity with local community and school demographics</t>
  </si>
  <si>
    <t>Demonstrated knowledge of Child Nutrition Program meal patterns</t>
  </si>
  <si>
    <t>Demonstrated awareness and knowledge of innovation in School Nutrition facilities</t>
  </si>
  <si>
    <t>Presentation of proposed operation and marketing plans, and recommendations for the district's food service programs</t>
  </si>
  <si>
    <t>Taste Test Scoring and Overall Cumulative Rating *</t>
  </si>
  <si>
    <t>Look</t>
  </si>
  <si>
    <t>Taste</t>
  </si>
  <si>
    <t>Temperature</t>
  </si>
  <si>
    <t>Texture</t>
  </si>
  <si>
    <t>Overall Acceptability</t>
  </si>
  <si>
    <t>Reference Checks</t>
  </si>
  <si>
    <t>*While rare and not recommended, blind taste tests are allowed during the bid process.  Prior discussion with and approval by MDE is required. Ask analyst for further information, guidelines, and required forms.</t>
  </si>
  <si>
    <t>BREAKFAST
Beginning and Ending 
Service Times</t>
  </si>
  <si>
    <t>LUNCH
Beginning and Ending 
Service Times</t>
  </si>
  <si>
    <t>BREAKFAST 
Beginning and Ending Service Times</t>
  </si>
  <si>
    <t>LUNCH
Beginning and Ending Service Times</t>
  </si>
  <si>
    <t>SNACK
Beginning and Ending Service Times</t>
  </si>
  <si>
    <t>SUPPER
Beginning and Ending Service Times</t>
  </si>
  <si>
    <r>
      <t xml:space="preserve">List ALL sites that serve meals.  Enter beginning and ending service times and X as appropriate.  *Indicate either Full Serve OR Offer vs. Serve, NOT both.  For grades 9-12, lunch </t>
    </r>
    <r>
      <rPr>
        <b/>
        <u/>
        <sz val="10"/>
        <color rgb="FF0070C0"/>
        <rFont val="Arial"/>
        <family val="2"/>
      </rPr>
      <t>must</t>
    </r>
    <r>
      <rPr>
        <b/>
        <sz val="10"/>
        <color rgb="FF0070C0"/>
        <rFont val="Arial"/>
        <family val="2"/>
      </rPr>
      <t xml:space="preserve"> be Offer vs. Serve. If a site includes some grades that do Full Serve and some grades that do Offer vs. Serve, list those grades on separate lines and label accordingly.</t>
    </r>
  </si>
  <si>
    <r>
      <t>Contracted Services (</t>
    </r>
    <r>
      <rPr>
        <b/>
        <sz val="10"/>
        <rFont val="Arial"/>
        <family val="2"/>
      </rPr>
      <t>not</t>
    </r>
    <r>
      <rPr>
        <sz val="10"/>
        <rFont val="Arial"/>
        <family val="2"/>
      </rPr>
      <t xml:space="preserve"> including FSMC administrative and management fees) </t>
    </r>
    <r>
      <rPr>
        <sz val="10"/>
        <color rgb="FFFF0000"/>
        <rFont val="Arial"/>
        <family val="2"/>
      </rPr>
      <t>(insert detail, such as pest control, lunchroom monitors, equipment repairs and maintenance, etc.)</t>
    </r>
    <r>
      <rPr>
        <sz val="10"/>
        <rFont val="Arial"/>
        <family val="2"/>
      </rPr>
      <t xml:space="preserve"> </t>
    </r>
  </si>
  <si>
    <t>Proposal Size</t>
  </si>
  <si>
    <t>FSMC's bid proposal is 200 pages or less</t>
  </si>
  <si>
    <t xml:space="preserve">FSMC's bid proposal is _____ pages or less </t>
  </si>
  <si>
    <r>
      <t xml:space="preserve">Advance Payment is: 
</t>
    </r>
    <r>
      <rPr>
        <b/>
        <sz val="10"/>
        <color rgb="FF0070C0"/>
        <rFont val="Arial"/>
        <family val="2"/>
      </rPr>
      <t xml:space="preserve">(Sponsor completes) </t>
    </r>
    <r>
      <rPr>
        <b/>
        <sz val="10"/>
        <rFont val="Arial"/>
        <family val="2"/>
      </rPr>
      <t xml:space="preserve"> </t>
    </r>
  </si>
  <si>
    <t xml:space="preserve">_____ Annual    </t>
  </si>
  <si>
    <t xml:space="preserve">_____ One Time Only     </t>
  </si>
  <si>
    <t>USDA Foods Available List for SY 2026-2027</t>
  </si>
  <si>
    <t>Catering</t>
  </si>
  <si>
    <t>Vended Contracts (see Contracts/Vended Agreements tab)</t>
  </si>
  <si>
    <t>Total Breakfasts Served (2:1)</t>
  </si>
  <si>
    <t>Total Lunches Served (1:1)</t>
  </si>
  <si>
    <t>Total Snacks Served (3:1)</t>
  </si>
  <si>
    <t>Total Suppers Served (1:1)</t>
  </si>
  <si>
    <t>Program Meal Equivalents</t>
  </si>
  <si>
    <t>TOTAL PROJECTED MEALS/MEAL EQUIVALENTS</t>
  </si>
  <si>
    <r>
      <t xml:space="preserve">PROJECTED REVENUE FOR SY 2026-2027
</t>
    </r>
    <r>
      <rPr>
        <b/>
        <sz val="14"/>
        <color rgb="FF0070C0"/>
        <rFont val="Arial"/>
        <family val="2"/>
      </rPr>
      <t>(to be completed by District/Sponsor and MDE)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</si>
</sst>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44" formatCode="_(&quot;$&quot;* #,##0.00_);_(&quot;$&quot;* \(#,##0.00\);_(&quot;$&quot;* &quot;-&quot;??_);_(@_)"/>
    <numFmt numFmtId="43" formatCode="_(* #,##0.00_);_(* \(#,##0.00\);_(* &quot;-&quot;??_);_(@_)"/>
    <numFmt numFmtId="164" formatCode="&quot;$&quot;#,##0.00"/>
    <numFmt numFmtId="165" formatCode="_(* #,##0_);_(* \(#,##0\);_(* &quot;-&quot;??_);_(@_)"/>
    <numFmt numFmtId="166" formatCode="0.0000"/>
    <numFmt numFmtId="167" formatCode="_(&quot;$&quot;* #,##0.0000_);_(&quot;$&quot;* \(#,##0.0000\);_(&quot;$&quot;* &quot;-&quot;??_);_(@_)"/>
    <numFmt numFmtId="168" formatCode="&quot;$&quot;#,##0.0000_);\(&quot;$&quot;#,##0.0000\)"/>
    <numFmt numFmtId="169" formatCode="#,##0.00;\-#,##0.00;\ \.\ \ "/>
  </numFmts>
  <fonts count="6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4"/>
      <name val="Arial"/>
      <family val="2"/>
    </font>
    <font>
      <b/>
      <u/>
      <sz val="10"/>
      <name val="Arial"/>
      <family val="2"/>
    </font>
    <font>
      <i/>
      <sz val="10"/>
      <name val="Arial"/>
      <family val="2"/>
    </font>
    <font>
      <b/>
      <sz val="9"/>
      <name val="Arial"/>
      <family val="2"/>
    </font>
    <font>
      <sz val="12"/>
      <name val="Arial"/>
      <family val="2"/>
    </font>
    <font>
      <b/>
      <sz val="22"/>
      <name val="Arial"/>
      <family val="2"/>
    </font>
    <font>
      <sz val="22"/>
      <name val="Arial"/>
      <family val="2"/>
    </font>
    <font>
      <b/>
      <sz val="12"/>
      <name val="Arial"/>
      <family val="2"/>
    </font>
    <font>
      <b/>
      <sz val="18"/>
      <name val="Arial"/>
      <family val="2"/>
    </font>
    <font>
      <sz val="14"/>
      <name val="Arial"/>
      <family val="2"/>
    </font>
    <font>
      <sz val="9"/>
      <name val="Arial"/>
      <family val="2"/>
    </font>
    <font>
      <u/>
      <sz val="10"/>
      <color indexed="12"/>
      <name val="Arial"/>
      <family val="2"/>
    </font>
    <font>
      <b/>
      <sz val="14"/>
      <name val="Calibri"/>
      <family val="2"/>
    </font>
    <font>
      <u/>
      <sz val="10"/>
      <name val="Arial"/>
      <family val="2"/>
    </font>
    <font>
      <sz val="10"/>
      <color rgb="FFFF0000"/>
      <name val="Arial"/>
      <family val="2"/>
    </font>
    <font>
      <sz val="12"/>
      <color rgb="FFFF0000"/>
      <name val="Arial"/>
      <family val="2"/>
    </font>
    <font>
      <b/>
      <sz val="10"/>
      <color rgb="FFFF0000"/>
      <name val="Arial"/>
      <family val="2"/>
    </font>
    <font>
      <i/>
      <sz val="10"/>
      <color theme="0" tint="-0.499984740745262"/>
      <name val="Arial"/>
      <family val="2"/>
    </font>
    <font>
      <b/>
      <u/>
      <sz val="14"/>
      <name val="Calibri"/>
      <family val="2"/>
    </font>
    <font>
      <b/>
      <u/>
      <sz val="22"/>
      <name val="Arial"/>
      <family val="2"/>
    </font>
    <font>
      <b/>
      <sz val="16"/>
      <name val="Arial"/>
      <family val="2"/>
    </font>
    <font>
      <u/>
      <sz val="11"/>
      <color theme="10"/>
      <name val="Calibri"/>
      <family val="2"/>
      <scheme val="minor"/>
    </font>
    <font>
      <sz val="9"/>
      <color theme="3" tint="0.39997558519241921"/>
      <name val="Arial"/>
      <family val="2"/>
    </font>
    <font>
      <b/>
      <sz val="14"/>
      <color rgb="FFFF0000"/>
      <name val="Arial"/>
      <family val="2"/>
    </font>
    <font>
      <u/>
      <sz val="11"/>
      <color theme="10"/>
      <name val="Arial"/>
      <family val="2"/>
    </font>
    <font>
      <sz val="11"/>
      <color theme="1"/>
      <name val="Arial"/>
      <family val="2"/>
    </font>
    <font>
      <sz val="10"/>
      <color theme="1"/>
      <name val="Arial"/>
      <family val="2"/>
    </font>
    <font>
      <b/>
      <sz val="10"/>
      <color theme="1"/>
      <name val="Arial"/>
      <family val="2"/>
    </font>
    <font>
      <sz val="10"/>
      <color rgb="FF000000"/>
      <name val="Arial"/>
      <family val="2"/>
    </font>
    <font>
      <b/>
      <sz val="11"/>
      <name val="Arial"/>
      <family val="2"/>
    </font>
    <font>
      <b/>
      <sz val="10"/>
      <color rgb="FF0070C0"/>
      <name val="Arial"/>
      <family val="2"/>
    </font>
    <font>
      <b/>
      <u/>
      <sz val="10"/>
      <color rgb="FF0070C0"/>
      <name val="Arial"/>
      <family val="2"/>
    </font>
    <font>
      <b/>
      <sz val="14"/>
      <color rgb="FF0070C0"/>
      <name val="Arial"/>
      <family val="2"/>
    </font>
    <font>
      <b/>
      <sz val="18"/>
      <color rgb="FF0070C0"/>
      <name val="Arial"/>
      <family val="2"/>
    </font>
    <font>
      <u/>
      <sz val="10"/>
      <color rgb="FF0070C0"/>
      <name val="Arial"/>
      <family val="2"/>
    </font>
    <font>
      <b/>
      <sz val="12"/>
      <color rgb="FF0070C0"/>
      <name val="Arial"/>
      <family val="2"/>
    </font>
    <font>
      <b/>
      <sz val="12"/>
      <color rgb="FFFF0000"/>
      <name val="Arial"/>
      <family val="2"/>
    </font>
    <font>
      <b/>
      <u/>
      <sz val="10"/>
      <color rgb="FFFF0000"/>
      <name val="Arial"/>
      <family val="2"/>
    </font>
    <font>
      <u/>
      <sz val="10"/>
      <color theme="10"/>
      <name val="Arial"/>
      <family val="2"/>
    </font>
    <font>
      <sz val="11"/>
      <name val="Arial"/>
      <family val="2"/>
    </font>
    <font>
      <b/>
      <u/>
      <sz val="14"/>
      <color rgb="FF0070C0"/>
      <name val="Arial"/>
      <family val="2"/>
    </font>
    <font>
      <b/>
      <u/>
      <sz val="12"/>
      <name val="Arial"/>
      <family val="2"/>
    </font>
    <font>
      <sz val="18"/>
      <name val="Arial"/>
      <family val="2"/>
    </font>
    <font>
      <b/>
      <sz val="16"/>
      <color theme="3" tint="0.39997558519241921"/>
      <name val="Arial"/>
      <family val="2"/>
    </font>
    <font>
      <b/>
      <sz val="10"/>
      <color rgb="FF000000"/>
      <name val="Arial"/>
      <family val="2"/>
    </font>
    <font>
      <b/>
      <sz val="12"/>
      <name val="Arial Black"/>
      <family val="2"/>
    </font>
    <font>
      <b/>
      <i/>
      <sz val="10"/>
      <name val="Arial"/>
      <family val="2"/>
    </font>
    <font>
      <sz val="9"/>
      <color rgb="FFFF0000"/>
      <name val="Arial"/>
      <family val="2"/>
    </font>
    <font>
      <sz val="10"/>
      <color theme="8" tint="0.39997558519241921"/>
      <name val="Arial"/>
      <family val="2"/>
    </font>
    <font>
      <b/>
      <u/>
      <sz val="11"/>
      <name val="Arial"/>
      <family val="2"/>
    </font>
    <font>
      <sz val="12"/>
      <color rgb="FF000000"/>
      <name val="Calibri"/>
      <family val="2"/>
    </font>
    <font>
      <b/>
      <sz val="12"/>
      <color rgb="FF000000"/>
      <name val="Calibri"/>
      <family val="2"/>
    </font>
    <font>
      <u/>
      <sz val="12"/>
      <color rgb="FF000000"/>
      <name val="Calibri"/>
      <family val="2"/>
    </font>
    <font>
      <b/>
      <u/>
      <sz val="12"/>
      <color rgb="FF000000"/>
      <name val="Calibri"/>
      <family val="2"/>
    </font>
    <font>
      <b/>
      <i/>
      <sz val="14"/>
      <name val="Arial"/>
      <family val="2"/>
    </font>
    <font>
      <b/>
      <sz val="20"/>
      <name val="Arial"/>
      <family val="2"/>
    </font>
    <font>
      <b/>
      <u/>
      <sz val="20"/>
      <name val="Arial"/>
      <family val="2"/>
    </font>
    <font>
      <b/>
      <sz val="10"/>
      <color theme="3" tint="0.39997558519241921"/>
      <name val="Arial"/>
      <family val="2"/>
    </font>
    <font>
      <sz val="10"/>
      <color theme="8" tint="0.79998168889431442"/>
      <name val="Arial"/>
      <family val="2"/>
    </font>
  </fonts>
  <fills count="2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rgb="FFFF0000"/>
        <bgColor indexed="64"/>
      </patternFill>
    </fill>
    <fill>
      <patternFill patternType="solid">
        <fgColor theme="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B0F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0" tint="-0.34998626667073579"/>
        <bgColor indexed="64"/>
      </patternFill>
    </fill>
  </fills>
  <borders count="9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Dashed">
        <color indexed="64"/>
      </right>
      <top style="thin">
        <color indexed="64"/>
      </top>
      <bottom style="thin">
        <color indexed="64"/>
      </bottom>
      <diagonal/>
    </border>
    <border>
      <left/>
      <right style="mediumDashed">
        <color indexed="64"/>
      </right>
      <top style="thin">
        <color indexed="64"/>
      </top>
      <bottom style="thin">
        <color indexed="64"/>
      </bottom>
      <diagonal/>
    </border>
    <border>
      <left style="mediumDashed">
        <color indexed="64"/>
      </left>
      <right style="mediumDashed">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Dashed">
        <color indexed="64"/>
      </right>
      <top style="thin">
        <color indexed="64"/>
      </top>
      <bottom style="medium">
        <color indexed="64"/>
      </bottom>
      <diagonal/>
    </border>
    <border>
      <left/>
      <right style="mediumDashed">
        <color indexed="64"/>
      </right>
      <top style="thin">
        <color indexed="64"/>
      </top>
      <bottom style="medium">
        <color indexed="64"/>
      </bottom>
      <diagonal/>
    </border>
    <border>
      <left style="mediumDashed">
        <color indexed="64"/>
      </left>
      <right style="mediumDashed">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double">
        <color indexed="64"/>
      </bottom>
      <diagonal/>
    </border>
    <border>
      <left style="medium">
        <color indexed="64"/>
      </left>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auto="1"/>
      </left>
      <right/>
      <top style="thin">
        <color auto="1"/>
      </top>
      <bottom style="thin">
        <color auto="1"/>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style="medium">
        <color indexed="64"/>
      </top>
      <bottom style="thin">
        <color indexed="64"/>
      </bottom>
      <diagonal/>
    </border>
    <border>
      <left/>
      <right/>
      <top style="double">
        <color auto="1"/>
      </top>
      <bottom style="double">
        <color auto="1"/>
      </bottom>
      <diagonal/>
    </border>
    <border>
      <left/>
      <right style="thin">
        <color indexed="64"/>
      </right>
      <top style="double">
        <color auto="1"/>
      </top>
      <bottom style="double">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thin">
        <color indexed="64"/>
      </bottom>
      <diagonal/>
    </border>
    <border>
      <left style="thin">
        <color indexed="64"/>
      </left>
      <right/>
      <top/>
      <bottom style="double">
        <color auto="1"/>
      </bottom>
      <diagonal/>
    </border>
    <border>
      <left/>
      <right/>
      <top/>
      <bottom style="double">
        <color auto="1"/>
      </bottom>
      <diagonal/>
    </border>
    <border>
      <left/>
      <right style="thin">
        <color indexed="64"/>
      </right>
      <top/>
      <bottom style="double">
        <color auto="1"/>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double">
        <color auto="1"/>
      </bottom>
      <diagonal/>
    </border>
    <border>
      <left style="medium">
        <color auto="1"/>
      </left>
      <right/>
      <top style="thin">
        <color auto="1"/>
      </top>
      <bottom/>
      <diagonal/>
    </border>
    <border>
      <left style="medium">
        <color indexed="64"/>
      </left>
      <right/>
      <top style="medium">
        <color indexed="64"/>
      </top>
      <bottom/>
      <diagonal/>
    </border>
    <border>
      <left style="mediumDashed">
        <color indexed="64"/>
      </left>
      <right style="medium">
        <color indexed="64"/>
      </right>
      <top style="thin">
        <color indexed="64"/>
      </top>
      <bottom style="medium">
        <color indexed="64"/>
      </bottom>
      <diagonal/>
    </border>
    <border>
      <left style="medium">
        <color indexed="64"/>
      </left>
      <right style="mediumDashed">
        <color indexed="64"/>
      </right>
      <top style="medium">
        <color indexed="64"/>
      </top>
      <bottom style="thin">
        <color indexed="64"/>
      </bottom>
      <diagonal/>
    </border>
    <border>
      <left style="mediumDashed">
        <color indexed="64"/>
      </left>
      <right style="mediumDashed">
        <color indexed="64"/>
      </right>
      <top style="medium">
        <color indexed="64"/>
      </top>
      <bottom style="thin">
        <color indexed="64"/>
      </bottom>
      <diagonal/>
    </border>
    <border>
      <left style="mediumDashed">
        <color indexed="64"/>
      </left>
      <right style="medium">
        <color indexed="64"/>
      </right>
      <top style="medium">
        <color indexed="64"/>
      </top>
      <bottom style="thin">
        <color indexed="64"/>
      </bottom>
      <diagonal/>
    </border>
    <border>
      <left/>
      <right style="medium">
        <color indexed="64"/>
      </right>
      <top/>
      <bottom style="thin">
        <color indexed="64"/>
      </bottom>
      <diagonal/>
    </border>
    <border>
      <left style="mediumDashed">
        <color indexed="64"/>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Dashed">
        <color indexed="64"/>
      </right>
      <top/>
      <bottom style="thin">
        <color indexed="64"/>
      </bottom>
      <diagonal/>
    </border>
    <border>
      <left style="medium">
        <color indexed="64"/>
      </left>
      <right style="mediumDashed">
        <color indexed="64"/>
      </right>
      <top/>
      <bottom style="thin">
        <color indexed="64"/>
      </bottom>
      <diagonal/>
    </border>
    <border>
      <left/>
      <right style="thin">
        <color indexed="64"/>
      </right>
      <top style="double">
        <color indexed="64"/>
      </top>
      <bottom style="thin">
        <color indexed="64"/>
      </bottom>
      <diagonal/>
    </border>
    <border>
      <left style="medium">
        <color indexed="64"/>
      </left>
      <right/>
      <top/>
      <bottom/>
      <diagonal/>
    </border>
    <border>
      <left style="medium">
        <color indexed="64"/>
      </left>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bottom style="thin">
        <color indexed="64"/>
      </bottom>
      <diagonal/>
    </border>
  </borders>
  <cellStyleXfs count="14">
    <xf numFmtId="0" fontId="0" fillId="0" borderId="0"/>
    <xf numFmtId="43" fontId="5" fillId="0" borderId="0" applyFont="0" applyFill="0" applyBorder="0" applyAlignment="0" applyProtection="0"/>
    <xf numFmtId="44" fontId="5" fillId="0" borderId="0" applyFont="0" applyFill="0" applyBorder="0" applyAlignment="0" applyProtection="0"/>
    <xf numFmtId="0" fontId="18" fillId="0" borderId="0" applyNumberFormat="0" applyFill="0" applyBorder="0" applyAlignment="0" applyProtection="0">
      <alignment vertical="top"/>
      <protection locked="0"/>
    </xf>
    <xf numFmtId="0" fontId="5" fillId="0" borderId="0"/>
    <xf numFmtId="0" fontId="4" fillId="0" borderId="0"/>
    <xf numFmtId="0" fontId="28" fillId="0" borderId="0" applyNumberFormat="0" applyFill="0" applyBorder="0" applyAlignment="0" applyProtection="0"/>
    <xf numFmtId="0" fontId="3" fillId="0" borderId="0"/>
    <xf numFmtId="0" fontId="28" fillId="0" borderId="0" applyNumberFormat="0" applyFill="0" applyBorder="0" applyAlignment="0" applyProtection="0"/>
    <xf numFmtId="0" fontId="2" fillId="0" borderId="0"/>
    <xf numFmtId="44" fontId="2" fillId="0" borderId="0" applyFont="0" applyFill="0" applyBorder="0" applyAlignment="0" applyProtection="0"/>
    <xf numFmtId="0" fontId="45" fillId="0" borderId="0" applyNumberFormat="0" applyFill="0" applyBorder="0" applyAlignment="0" applyProtection="0"/>
    <xf numFmtId="0" fontId="1" fillId="0" borderId="0"/>
    <xf numFmtId="44" fontId="1" fillId="0" borderId="0" applyFont="0" applyFill="0" applyBorder="0" applyAlignment="0" applyProtection="0"/>
  </cellStyleXfs>
  <cellXfs count="751">
    <xf numFmtId="0" fontId="0" fillId="0" borderId="0" xfId="0"/>
    <xf numFmtId="0" fontId="0" fillId="0" borderId="0" xfId="0" applyAlignment="1">
      <alignment horizontal="center"/>
    </xf>
    <xf numFmtId="0" fontId="6" fillId="0" borderId="0" xfId="0" applyFont="1"/>
    <xf numFmtId="0" fontId="14" fillId="0" borderId="0" xfId="0" applyFont="1"/>
    <xf numFmtId="164" fontId="0" fillId="0" borderId="0" xfId="0" applyNumberFormat="1"/>
    <xf numFmtId="0" fontId="13" fillId="0" borderId="0" xfId="0" applyFont="1"/>
    <xf numFmtId="0" fontId="11" fillId="0" borderId="0" xfId="0" applyFont="1"/>
    <xf numFmtId="0" fontId="5" fillId="0" borderId="0" xfId="0" applyFont="1"/>
    <xf numFmtId="0" fontId="5" fillId="0" borderId="0" xfId="4"/>
    <xf numFmtId="164" fontId="5" fillId="0" borderId="0" xfId="4" applyNumberFormat="1"/>
    <xf numFmtId="165" fontId="0" fillId="4" borderId="3" xfId="1" applyNumberFormat="1" applyFont="1" applyFill="1" applyBorder="1"/>
    <xf numFmtId="43" fontId="0" fillId="4" borderId="3" xfId="1" applyFont="1" applyFill="1" applyBorder="1"/>
    <xf numFmtId="0" fontId="5" fillId="0" borderId="2" xfId="4" applyBorder="1"/>
    <xf numFmtId="164" fontId="5" fillId="4" borderId="2" xfId="4" applyNumberFormat="1" applyFill="1" applyBorder="1"/>
    <xf numFmtId="0" fontId="5" fillId="0" borderId="0" xfId="0" applyFont="1" applyAlignment="1">
      <alignment horizontal="center"/>
    </xf>
    <xf numFmtId="0" fontId="5" fillId="0" borderId="0" xfId="7" applyFont="1" applyAlignment="1">
      <alignment horizontal="center"/>
    </xf>
    <xf numFmtId="49" fontId="5" fillId="0" borderId="0" xfId="7" applyNumberFormat="1" applyFont="1" applyAlignment="1">
      <alignment horizontal="right"/>
    </xf>
    <xf numFmtId="0" fontId="23" fillId="0" borderId="0" xfId="7" applyFont="1"/>
    <xf numFmtId="0" fontId="21" fillId="0" borderId="0" xfId="7" applyFont="1"/>
    <xf numFmtId="0" fontId="22" fillId="0" borderId="0" xfId="7" applyFont="1"/>
    <xf numFmtId="0" fontId="5" fillId="0" borderId="0" xfId="7" applyFont="1"/>
    <xf numFmtId="0" fontId="11" fillId="0" borderId="0" xfId="7" applyFont="1"/>
    <xf numFmtId="49" fontId="5" fillId="0" borderId="0" xfId="7" applyNumberFormat="1" applyFont="1" applyAlignment="1">
      <alignment horizontal="right" vertical="center"/>
    </xf>
    <xf numFmtId="0" fontId="6" fillId="0" borderId="0" xfId="7" applyFont="1" applyAlignment="1">
      <alignment wrapText="1"/>
    </xf>
    <xf numFmtId="49" fontId="6" fillId="0" borderId="0" xfId="7" applyNumberFormat="1" applyFont="1" applyAlignment="1">
      <alignment horizontal="left" vertical="top"/>
    </xf>
    <xf numFmtId="0" fontId="5" fillId="0" borderId="0" xfId="7" applyFont="1" applyAlignment="1">
      <alignment vertical="top" wrapText="1"/>
    </xf>
    <xf numFmtId="49" fontId="5" fillId="0" borderId="0" xfId="7" applyNumberFormat="1" applyFont="1" applyAlignment="1">
      <alignment horizontal="right" vertical="top"/>
    </xf>
    <xf numFmtId="49" fontId="6" fillId="6" borderId="0" xfId="7" applyNumberFormat="1" applyFont="1" applyFill="1" applyAlignment="1">
      <alignment horizontal="left" vertical="top"/>
    </xf>
    <xf numFmtId="0" fontId="6" fillId="6" borderId="0" xfId="7" applyFont="1" applyFill="1" applyAlignment="1">
      <alignment vertical="top" wrapText="1"/>
    </xf>
    <xf numFmtId="0" fontId="20" fillId="0" borderId="0" xfId="3" applyFont="1" applyAlignment="1" applyProtection="1">
      <alignment vertical="center" wrapText="1"/>
    </xf>
    <xf numFmtId="49" fontId="11" fillId="0" borderId="0" xfId="7" applyNumberFormat="1" applyFont="1" applyAlignment="1">
      <alignment horizontal="right"/>
    </xf>
    <xf numFmtId="0" fontId="6" fillId="0" borderId="0" xfId="7" applyFont="1" applyAlignment="1">
      <alignment horizontal="left" wrapText="1"/>
    </xf>
    <xf numFmtId="0" fontId="11" fillId="0" borderId="0" xfId="7" applyFont="1" applyAlignment="1">
      <alignment horizontal="center"/>
    </xf>
    <xf numFmtId="0" fontId="5" fillId="0" borderId="0" xfId="7" applyFont="1" applyAlignment="1">
      <alignment wrapText="1"/>
    </xf>
    <xf numFmtId="49" fontId="32" fillId="0" borderId="0" xfId="7" applyNumberFormat="1" applyFont="1" applyAlignment="1">
      <alignment horizontal="right"/>
    </xf>
    <xf numFmtId="0" fontId="32" fillId="0" borderId="0" xfId="7" applyFont="1"/>
    <xf numFmtId="0" fontId="6" fillId="0" borderId="11" xfId="4" applyFont="1" applyBorder="1"/>
    <xf numFmtId="0" fontId="6" fillId="0" borderId="6" xfId="4" applyFont="1" applyBorder="1"/>
    <xf numFmtId="164" fontId="5" fillId="0" borderId="6" xfId="4" applyNumberFormat="1" applyBorder="1"/>
    <xf numFmtId="165" fontId="5" fillId="0" borderId="2" xfId="1" applyNumberFormat="1" applyFont="1" applyBorder="1" applyAlignment="1">
      <alignment horizontal="center"/>
    </xf>
    <xf numFmtId="165" fontId="5" fillId="0" borderId="3" xfId="1" applyNumberFormat="1" applyFont="1" applyBorder="1" applyAlignment="1">
      <alignment horizontal="center"/>
    </xf>
    <xf numFmtId="7" fontId="5" fillId="0" borderId="3" xfId="2" applyNumberFormat="1" applyFont="1" applyFill="1" applyBorder="1" applyAlignment="1">
      <alignment horizontal="center"/>
    </xf>
    <xf numFmtId="43" fontId="5" fillId="0" borderId="3" xfId="1" applyFont="1" applyFill="1" applyBorder="1" applyAlignment="1">
      <alignment horizontal="center"/>
    </xf>
    <xf numFmtId="165" fontId="5" fillId="0" borderId="3" xfId="1" applyNumberFormat="1" applyFont="1" applyFill="1" applyBorder="1" applyAlignment="1">
      <alignment horizontal="center"/>
    </xf>
    <xf numFmtId="0" fontId="6" fillId="9" borderId="4" xfId="4" applyFont="1" applyFill="1" applyBorder="1"/>
    <xf numFmtId="0" fontId="5" fillId="9" borderId="5" xfId="4" applyFill="1" applyBorder="1"/>
    <xf numFmtId="0" fontId="5" fillId="9" borderId="3" xfId="4" applyFill="1" applyBorder="1"/>
    <xf numFmtId="0" fontId="5" fillId="10" borderId="5" xfId="4" applyFill="1" applyBorder="1"/>
    <xf numFmtId="0" fontId="5" fillId="0" borderId="3" xfId="4" applyBorder="1" applyAlignment="1">
      <alignment horizontal="center"/>
    </xf>
    <xf numFmtId="164" fontId="5" fillId="9" borderId="3" xfId="4" applyNumberFormat="1" applyFill="1" applyBorder="1"/>
    <xf numFmtId="0" fontId="5" fillId="2" borderId="4" xfId="4" applyFill="1" applyBorder="1"/>
    <xf numFmtId="0" fontId="5" fillId="2" borderId="3" xfId="4" applyFill="1" applyBorder="1"/>
    <xf numFmtId="0" fontId="5" fillId="2" borderId="5" xfId="4" applyFill="1" applyBorder="1"/>
    <xf numFmtId="0" fontId="5" fillId="12" borderId="4" xfId="4" applyFill="1" applyBorder="1"/>
    <xf numFmtId="0" fontId="5" fillId="12" borderId="3" xfId="4" applyFill="1" applyBorder="1"/>
    <xf numFmtId="0" fontId="6" fillId="12" borderId="3" xfId="4" applyFont="1" applyFill="1" applyBorder="1" applyAlignment="1">
      <alignment horizontal="right"/>
    </xf>
    <xf numFmtId="0" fontId="5" fillId="10" borderId="4" xfId="4" applyFill="1" applyBorder="1"/>
    <xf numFmtId="0" fontId="5" fillId="10" borderId="3" xfId="4" applyFill="1" applyBorder="1"/>
    <xf numFmtId="0" fontId="6" fillId="10" borderId="3" xfId="4" applyFont="1" applyFill="1" applyBorder="1" applyAlignment="1">
      <alignment horizontal="right"/>
    </xf>
    <xf numFmtId="164" fontId="5" fillId="10" borderId="3" xfId="4" applyNumberFormat="1" applyFill="1" applyBorder="1"/>
    <xf numFmtId="0" fontId="5" fillId="0" borderId="6" xfId="4" applyBorder="1"/>
    <xf numFmtId="0" fontId="6" fillId="2" borderId="3" xfId="4" applyFont="1" applyFill="1" applyBorder="1" applyAlignment="1">
      <alignment horizontal="right"/>
    </xf>
    <xf numFmtId="164" fontId="6" fillId="2" borderId="3" xfId="4" applyNumberFormat="1" applyFont="1" applyFill="1" applyBorder="1"/>
    <xf numFmtId="164" fontId="6" fillId="2" borderId="3" xfId="2" applyNumberFormat="1" applyFont="1" applyFill="1" applyBorder="1"/>
    <xf numFmtId="164" fontId="5" fillId="4" borderId="3" xfId="2" applyNumberFormat="1" applyFill="1" applyBorder="1"/>
    <xf numFmtId="164" fontId="6" fillId="2" borderId="3" xfId="4" applyNumberFormat="1" applyFont="1" applyFill="1" applyBorder="1" applyAlignment="1">
      <alignment horizontal="right"/>
    </xf>
    <xf numFmtId="0" fontId="5" fillId="0" borderId="4" xfId="4" applyBorder="1" applyAlignment="1">
      <alignment horizontal="left" indent="1"/>
    </xf>
    <xf numFmtId="2" fontId="5" fillId="0" borderId="3" xfId="2" applyNumberFormat="1" applyFill="1" applyBorder="1" applyAlignment="1">
      <alignment horizontal="center"/>
    </xf>
    <xf numFmtId="0" fontId="6" fillId="2" borderId="10" xfId="4" applyFont="1" applyFill="1" applyBorder="1" applyAlignment="1">
      <alignment horizontal="right" indent="1"/>
    </xf>
    <xf numFmtId="165" fontId="0" fillId="2" borderId="2" xfId="1" applyNumberFormat="1" applyFont="1" applyFill="1" applyBorder="1"/>
    <xf numFmtId="2" fontId="5" fillId="2" borderId="2" xfId="2" applyNumberFormat="1" applyFill="1" applyBorder="1"/>
    <xf numFmtId="164" fontId="6" fillId="2" borderId="2" xfId="4" applyNumberFormat="1" applyFont="1" applyFill="1" applyBorder="1" applyAlignment="1">
      <alignment horizontal="right"/>
    </xf>
    <xf numFmtId="164" fontId="6" fillId="2" borderId="2" xfId="4" applyNumberFormat="1" applyFont="1" applyFill="1" applyBorder="1"/>
    <xf numFmtId="0" fontId="6" fillId="0" borderId="0" xfId="4" applyFont="1"/>
    <xf numFmtId="0" fontId="6" fillId="0" borderId="2" xfId="4" applyFont="1" applyBorder="1"/>
    <xf numFmtId="0" fontId="6" fillId="2" borderId="4" xfId="4" applyFont="1" applyFill="1" applyBorder="1" applyAlignment="1">
      <alignment horizontal="right" indent="1"/>
    </xf>
    <xf numFmtId="165" fontId="0" fillId="2" borderId="3" xfId="1" applyNumberFormat="1" applyFont="1" applyFill="1" applyBorder="1"/>
    <xf numFmtId="167" fontId="5" fillId="2" borderId="3" xfId="4" applyNumberFormat="1" applyFill="1" applyBorder="1"/>
    <xf numFmtId="164" fontId="6" fillId="10" borderId="3" xfId="4" applyNumberFormat="1" applyFont="1" applyFill="1" applyBorder="1" applyAlignment="1">
      <alignment horizontal="right"/>
    </xf>
    <xf numFmtId="0" fontId="6" fillId="10" borderId="3" xfId="4" applyFont="1" applyFill="1" applyBorder="1" applyAlignment="1">
      <alignment horizontal="center" vertical="center" wrapText="1"/>
    </xf>
    <xf numFmtId="0" fontId="6" fillId="10" borderId="3" xfId="4" applyFont="1" applyFill="1" applyBorder="1" applyAlignment="1">
      <alignment horizontal="center" vertical="center"/>
    </xf>
    <xf numFmtId="164" fontId="6" fillId="10" borderId="3" xfId="4" applyNumberFormat="1" applyFont="1" applyFill="1" applyBorder="1" applyAlignment="1">
      <alignment horizontal="center" vertical="center" wrapText="1"/>
    </xf>
    <xf numFmtId="0" fontId="5" fillId="10" borderId="3" xfId="4" applyFill="1" applyBorder="1" applyAlignment="1">
      <alignment vertical="center"/>
    </xf>
    <xf numFmtId="164" fontId="6" fillId="12" borderId="3" xfId="4" applyNumberFormat="1" applyFont="1" applyFill="1" applyBorder="1" applyAlignment="1">
      <alignment horizontal="center" vertical="center"/>
    </xf>
    <xf numFmtId="0" fontId="6" fillId="12" borderId="3" xfId="4" applyFont="1" applyFill="1" applyBorder="1" applyAlignment="1">
      <alignment vertical="center"/>
    </xf>
    <xf numFmtId="0" fontId="5" fillId="12" borderId="5" xfId="4" applyFill="1" applyBorder="1"/>
    <xf numFmtId="0" fontId="5" fillId="0" borderId="14" xfId="4" applyBorder="1"/>
    <xf numFmtId="44" fontId="5" fillId="0" borderId="14" xfId="4" applyNumberFormat="1" applyBorder="1"/>
    <xf numFmtId="164" fontId="5" fillId="12" borderId="2" xfId="4" applyNumberFormat="1" applyFill="1" applyBorder="1"/>
    <xf numFmtId="164" fontId="6" fillId="12" borderId="5" xfId="4" applyNumberFormat="1" applyFont="1" applyFill="1" applyBorder="1"/>
    <xf numFmtId="0" fontId="5" fillId="7" borderId="5" xfId="4" applyFill="1" applyBorder="1"/>
    <xf numFmtId="164" fontId="5" fillId="0" borderId="14" xfId="4" applyNumberFormat="1" applyBorder="1"/>
    <xf numFmtId="164" fontId="6" fillId="10" borderId="5" xfId="4" applyNumberFormat="1" applyFont="1" applyFill="1" applyBorder="1"/>
    <xf numFmtId="0" fontId="6" fillId="12" borderId="4" xfId="4" applyFont="1" applyFill="1" applyBorder="1" applyAlignment="1">
      <alignment horizontal="center" vertical="center"/>
    </xf>
    <xf numFmtId="0" fontId="5" fillId="13" borderId="4" xfId="4" applyFill="1" applyBorder="1"/>
    <xf numFmtId="0" fontId="5" fillId="13" borderId="3" xfId="4" applyFill="1" applyBorder="1"/>
    <xf numFmtId="164" fontId="5" fillId="13" borderId="3" xfId="4" applyNumberFormat="1" applyFill="1" applyBorder="1"/>
    <xf numFmtId="0" fontId="6" fillId="13" borderId="3" xfId="4" applyFont="1" applyFill="1" applyBorder="1" applyAlignment="1">
      <alignment horizontal="right"/>
    </xf>
    <xf numFmtId="164" fontId="6" fillId="13" borderId="5" xfId="4" applyNumberFormat="1" applyFont="1" applyFill="1" applyBorder="1"/>
    <xf numFmtId="0" fontId="5" fillId="0" borderId="10" xfId="4" applyBorder="1" applyAlignment="1">
      <alignment horizontal="left" indent="1"/>
    </xf>
    <xf numFmtId="2" fontId="5" fillId="0" borderId="2" xfId="2" applyNumberFormat="1" applyFill="1" applyBorder="1" applyAlignment="1">
      <alignment horizontal="center"/>
    </xf>
    <xf numFmtId="165" fontId="0" fillId="0" borderId="6" xfId="1" applyNumberFormat="1" applyFont="1" applyBorder="1"/>
    <xf numFmtId="2" fontId="5" fillId="0" borderId="6" xfId="2" applyNumberFormat="1" applyFill="1" applyBorder="1"/>
    <xf numFmtId="4" fontId="5" fillId="13" borderId="1" xfId="1" applyNumberFormat="1" applyFill="1" applyBorder="1" applyProtection="1">
      <protection locked="0"/>
    </xf>
    <xf numFmtId="0" fontId="5" fillId="2" borderId="17" xfId="4" applyFill="1" applyBorder="1" applyAlignment="1">
      <alignment horizontal="right"/>
    </xf>
    <xf numFmtId="168" fontId="5" fillId="2" borderId="18" xfId="2" applyNumberFormat="1" applyFont="1" applyFill="1" applyBorder="1"/>
    <xf numFmtId="0" fontId="5" fillId="2" borderId="17" xfId="4" quotePrefix="1" applyFill="1" applyBorder="1" applyAlignment="1">
      <alignment horizontal="right"/>
    </xf>
    <xf numFmtId="0" fontId="6" fillId="0" borderId="0" xfId="0" applyFont="1" applyAlignment="1">
      <alignment horizontal="right"/>
    </xf>
    <xf numFmtId="0" fontId="12" fillId="0" borderId="0" xfId="0" applyFont="1" applyAlignment="1">
      <alignment horizontal="center"/>
    </xf>
    <xf numFmtId="0" fontId="26" fillId="0" borderId="0" xfId="0" applyFont="1" applyAlignment="1">
      <alignment horizontal="center"/>
    </xf>
    <xf numFmtId="0" fontId="41" fillId="0" borderId="0" xfId="8" applyFont="1" applyAlignment="1" applyProtection="1">
      <alignment vertical="center" wrapText="1"/>
    </xf>
    <xf numFmtId="0" fontId="29" fillId="0" borderId="0" xfId="7" applyFont="1" applyAlignment="1">
      <alignment vertical="center"/>
    </xf>
    <xf numFmtId="0" fontId="31" fillId="0" borderId="0" xfId="8" applyFont="1" applyAlignment="1">
      <alignment vertical="center"/>
    </xf>
    <xf numFmtId="0" fontId="41" fillId="0" borderId="0" xfId="8" applyFont="1" applyAlignment="1">
      <alignment vertical="center" wrapText="1"/>
    </xf>
    <xf numFmtId="0" fontId="17" fillId="0" borderId="0" xfId="7" applyFont="1" applyAlignment="1">
      <alignment vertical="center"/>
    </xf>
    <xf numFmtId="0" fontId="14" fillId="9" borderId="0" xfId="0" applyFont="1" applyFill="1"/>
    <xf numFmtId="0" fontId="14" fillId="15" borderId="0" xfId="0" applyFont="1" applyFill="1"/>
    <xf numFmtId="0" fontId="7" fillId="0" borderId="0" xfId="0" applyFont="1" applyAlignment="1">
      <alignment horizontal="center" vertical="center" wrapText="1"/>
    </xf>
    <xf numFmtId="0" fontId="5" fillId="0" borderId="4" xfId="4" applyBorder="1" applyAlignment="1">
      <alignment horizontal="left"/>
    </xf>
    <xf numFmtId="0" fontId="6" fillId="10" borderId="4" xfId="4" applyFont="1" applyFill="1" applyBorder="1" applyAlignment="1">
      <alignment horizontal="center" vertical="center" wrapText="1"/>
    </xf>
    <xf numFmtId="164" fontId="6" fillId="3" borderId="20" xfId="0" applyNumberFormat="1" applyFont="1" applyFill="1" applyBorder="1" applyAlignment="1">
      <alignment vertical="center"/>
    </xf>
    <xf numFmtId="164" fontId="6" fillId="15" borderId="27" xfId="0" applyNumberFormat="1" applyFont="1" applyFill="1" applyBorder="1" applyAlignment="1">
      <alignment vertical="center"/>
    </xf>
    <xf numFmtId="0" fontId="0" fillId="0" borderId="2" xfId="0" applyBorder="1"/>
    <xf numFmtId="0" fontId="6" fillId="2" borderId="58" xfId="0" applyFont="1" applyFill="1" applyBorder="1" applyAlignment="1">
      <alignment horizontal="center" vertical="center" wrapText="1"/>
    </xf>
    <xf numFmtId="164" fontId="6" fillId="2" borderId="62" xfId="0" applyNumberFormat="1" applyFont="1" applyFill="1" applyBorder="1" applyAlignment="1">
      <alignment horizontal="center" vertical="center" wrapText="1"/>
    </xf>
    <xf numFmtId="0" fontId="6" fillId="0" borderId="0" xfId="0" applyFont="1" applyAlignment="1">
      <alignment horizontal="center" vertical="center"/>
    </xf>
    <xf numFmtId="0" fontId="6" fillId="0" borderId="1" xfId="0" applyFont="1" applyBorder="1" applyAlignment="1">
      <alignment horizontal="right" vertical="center"/>
    </xf>
    <xf numFmtId="49" fontId="5" fillId="9" borderId="1" xfId="0" applyNumberFormat="1" applyFont="1" applyFill="1" applyBorder="1" applyAlignment="1">
      <alignment horizontal="center" vertical="center"/>
    </xf>
    <xf numFmtId="164" fontId="5" fillId="2" borderId="3" xfId="4" applyNumberFormat="1" applyFill="1" applyBorder="1"/>
    <xf numFmtId="164" fontId="5" fillId="2" borderId="2" xfId="4" applyNumberFormat="1" applyFill="1" applyBorder="1"/>
    <xf numFmtId="2" fontId="5" fillId="2" borderId="3" xfId="2" applyNumberFormat="1" applyFill="1" applyBorder="1"/>
    <xf numFmtId="166" fontId="5" fillId="2" borderId="3" xfId="2" applyNumberFormat="1" applyFill="1" applyBorder="1"/>
    <xf numFmtId="0" fontId="6" fillId="2" borderId="4" xfId="4" applyFont="1" applyFill="1" applyBorder="1"/>
    <xf numFmtId="165" fontId="6" fillId="2" borderId="3" xfId="1" applyNumberFormat="1" applyFont="1" applyFill="1" applyBorder="1"/>
    <xf numFmtId="165" fontId="6" fillId="2" borderId="2" xfId="1" applyNumberFormat="1" applyFont="1" applyFill="1" applyBorder="1"/>
    <xf numFmtId="43" fontId="5" fillId="2" borderId="3" xfId="1" applyFont="1" applyFill="1" applyBorder="1"/>
    <xf numFmtId="0" fontId="6" fillId="2" borderId="19" xfId="4" applyFont="1" applyFill="1" applyBorder="1" applyAlignment="1">
      <alignment horizontal="right"/>
    </xf>
    <xf numFmtId="168" fontId="6" fillId="2" borderId="20" xfId="4" applyNumberFormat="1" applyFont="1" applyFill="1" applyBorder="1"/>
    <xf numFmtId="0" fontId="5" fillId="2" borderId="61" xfId="4" applyFill="1" applyBorder="1" applyAlignment="1">
      <alignment horizontal="right"/>
    </xf>
    <xf numFmtId="164" fontId="0" fillId="2" borderId="62" xfId="2" applyNumberFormat="1" applyFont="1" applyFill="1" applyBorder="1"/>
    <xf numFmtId="3" fontId="6" fillId="2" borderId="2" xfId="0" applyNumberFormat="1" applyFont="1" applyFill="1" applyBorder="1" applyAlignment="1">
      <alignment horizontal="center"/>
    </xf>
    <xf numFmtId="0" fontId="45" fillId="0" borderId="0" xfId="11" applyAlignment="1">
      <alignment horizontal="left" vertical="center" readingOrder="1"/>
    </xf>
    <xf numFmtId="0" fontId="45" fillId="0" borderId="0" xfId="11" applyAlignment="1">
      <alignment wrapText="1"/>
    </xf>
    <xf numFmtId="0" fontId="6" fillId="17" borderId="0" xfId="4" applyFont="1" applyFill="1"/>
    <xf numFmtId="0" fontId="6" fillId="2" borderId="54" xfId="0" applyFont="1" applyFill="1" applyBorder="1" applyAlignment="1">
      <alignment vertical="center"/>
    </xf>
    <xf numFmtId="0" fontId="5" fillId="0" borderId="0" xfId="4" applyProtection="1">
      <protection locked="0"/>
    </xf>
    <xf numFmtId="4" fontId="6" fillId="13" borderId="1" xfId="4" applyNumberFormat="1" applyFont="1" applyFill="1" applyBorder="1" applyAlignment="1" applyProtection="1">
      <alignment horizontal="center" textRotation="90"/>
      <protection locked="0"/>
    </xf>
    <xf numFmtId="4" fontId="5" fillId="13" borderId="1" xfId="4" applyNumberFormat="1" applyFill="1" applyBorder="1" applyAlignment="1" applyProtection="1">
      <alignment horizontal="center"/>
      <protection locked="0"/>
    </xf>
    <xf numFmtId="0" fontId="24" fillId="0" borderId="0" xfId="4" applyFont="1" applyAlignment="1">
      <alignment horizontal="center"/>
    </xf>
    <xf numFmtId="0" fontId="5" fillId="0" borderId="0" xfId="4" applyAlignment="1" applyProtection="1">
      <alignment horizontal="center"/>
      <protection locked="0"/>
    </xf>
    <xf numFmtId="4" fontId="5" fillId="0" borderId="0" xfId="4" applyNumberFormat="1" applyProtection="1">
      <protection locked="0"/>
    </xf>
    <xf numFmtId="0" fontId="14" fillId="17" borderId="9" xfId="4" applyFont="1" applyFill="1" applyBorder="1" applyAlignment="1" applyProtection="1">
      <alignment horizontal="center" vertical="center" wrapText="1"/>
      <protection locked="0"/>
    </xf>
    <xf numFmtId="0" fontId="36" fillId="9" borderId="1" xfId="4" applyFont="1" applyFill="1" applyBorder="1" applyAlignment="1" applyProtection="1">
      <alignment horizontal="center" vertical="center"/>
      <protection locked="0"/>
    </xf>
    <xf numFmtId="0" fontId="46" fillId="9" borderId="1" xfId="4" applyFont="1" applyFill="1" applyBorder="1" applyAlignment="1" applyProtection="1">
      <alignment horizontal="center" vertical="center"/>
      <protection locked="0"/>
    </xf>
    <xf numFmtId="0" fontId="36" fillId="9" borderId="4" xfId="4" applyFont="1" applyFill="1" applyBorder="1" applyAlignment="1" applyProtection="1">
      <alignment vertical="center"/>
      <protection locked="0"/>
    </xf>
    <xf numFmtId="0" fontId="46" fillId="9" borderId="1" xfId="4" applyFont="1" applyFill="1" applyBorder="1" applyAlignment="1" applyProtection="1">
      <alignment vertical="center"/>
      <protection locked="0"/>
    </xf>
    <xf numFmtId="0" fontId="36" fillId="3" borderId="1" xfId="4" applyFont="1" applyFill="1" applyBorder="1" applyAlignment="1" applyProtection="1">
      <alignment horizontal="center"/>
      <protection locked="0"/>
    </xf>
    <xf numFmtId="0" fontId="36" fillId="3" borderId="1" xfId="4" applyFont="1" applyFill="1" applyBorder="1" applyAlignment="1" applyProtection="1">
      <alignment horizontal="right"/>
      <protection locked="0"/>
    </xf>
    <xf numFmtId="4" fontId="46" fillId="13" borderId="1" xfId="4" applyNumberFormat="1" applyFont="1" applyFill="1" applyBorder="1" applyAlignment="1" applyProtection="1">
      <alignment vertical="center"/>
      <protection locked="0"/>
    </xf>
    <xf numFmtId="4" fontId="36" fillId="3" borderId="1" xfId="1" applyNumberFormat="1" applyFont="1" applyFill="1" applyBorder="1" applyProtection="1">
      <protection locked="0"/>
    </xf>
    <xf numFmtId="0" fontId="46" fillId="3" borderId="4" xfId="4" applyFont="1" applyFill="1" applyBorder="1" applyAlignment="1" applyProtection="1">
      <alignment horizontal="center"/>
      <protection locked="0"/>
    </xf>
    <xf numFmtId="4" fontId="46" fillId="3" borderId="1" xfId="1" applyNumberFormat="1" applyFont="1" applyFill="1" applyBorder="1"/>
    <xf numFmtId="4" fontId="46" fillId="3" borderId="1" xfId="4" applyNumberFormat="1" applyFont="1" applyFill="1" applyBorder="1"/>
    <xf numFmtId="2" fontId="46" fillId="3" borderId="1" xfId="4" applyNumberFormat="1" applyFont="1" applyFill="1" applyBorder="1"/>
    <xf numFmtId="0" fontId="36" fillId="0" borderId="6" xfId="0" applyFont="1" applyBorder="1" applyAlignment="1">
      <alignment horizontal="center" vertical="top"/>
    </xf>
    <xf numFmtId="0" fontId="48" fillId="0" borderId="0" xfId="0" applyFont="1"/>
    <xf numFmtId="0" fontId="11" fillId="0" borderId="0" xfId="0" applyFont="1" applyAlignment="1">
      <alignment horizontal="left" vertical="center" wrapText="1"/>
    </xf>
    <xf numFmtId="0" fontId="11" fillId="0" borderId="0" xfId="0" applyFont="1" applyAlignment="1">
      <alignment vertical="center" wrapText="1"/>
    </xf>
    <xf numFmtId="0" fontId="15" fillId="0" borderId="0" xfId="0" applyFont="1" applyAlignment="1">
      <alignment horizontal="center"/>
    </xf>
    <xf numFmtId="0" fontId="50" fillId="9" borderId="1" xfId="0" applyFont="1" applyFill="1" applyBorder="1" applyAlignment="1">
      <alignment horizontal="center" vertical="center"/>
    </xf>
    <xf numFmtId="0" fontId="46" fillId="9" borderId="1" xfId="4" applyFont="1" applyFill="1" applyBorder="1" applyAlignment="1" applyProtection="1">
      <alignment vertical="center" wrapText="1"/>
      <protection locked="0"/>
    </xf>
    <xf numFmtId="0" fontId="7" fillId="0" borderId="0" xfId="4" applyFont="1" applyAlignment="1">
      <alignment horizontal="center" vertical="center" wrapText="1"/>
    </xf>
    <xf numFmtId="0" fontId="6" fillId="12" borderId="3" xfId="4" applyFont="1" applyFill="1" applyBorder="1" applyAlignment="1">
      <alignment horizontal="center" vertical="center" wrapText="1"/>
    </xf>
    <xf numFmtId="0" fontId="6" fillId="8" borderId="4" xfId="4" applyFont="1" applyFill="1" applyBorder="1" applyAlignment="1">
      <alignment horizontal="center" vertical="center" wrapText="1"/>
    </xf>
    <xf numFmtId="44" fontId="51" fillId="12" borderId="1" xfId="2" applyFont="1" applyFill="1" applyBorder="1" applyAlignment="1">
      <alignment horizontal="center" vertical="center" wrapText="1"/>
    </xf>
    <xf numFmtId="0" fontId="33" fillId="0" borderId="0" xfId="12" applyFont="1" applyAlignment="1">
      <alignment vertical="center"/>
    </xf>
    <xf numFmtId="0" fontId="34" fillId="0" borderId="0" xfId="12" applyFont="1" applyAlignment="1">
      <alignment horizontal="center" vertical="center"/>
    </xf>
    <xf numFmtId="0" fontId="34" fillId="0" borderId="0" xfId="12" applyFont="1" applyAlignment="1">
      <alignment vertical="center"/>
    </xf>
    <xf numFmtId="0" fontId="33" fillId="0" borderId="0" xfId="12" applyFont="1" applyAlignment="1" applyProtection="1">
      <alignment vertical="center"/>
      <protection locked="0"/>
    </xf>
    <xf numFmtId="0" fontId="32" fillId="0" borderId="0" xfId="12" applyFont="1"/>
    <xf numFmtId="0" fontId="6" fillId="8" borderId="1" xfId="4" applyFont="1" applyFill="1" applyBorder="1" applyAlignment="1">
      <alignment horizontal="center" vertical="center" wrapText="1"/>
    </xf>
    <xf numFmtId="44" fontId="35" fillId="5" borderId="1" xfId="13" applyFont="1" applyFill="1" applyBorder="1" applyAlignment="1" applyProtection="1">
      <alignment vertical="center" wrapText="1"/>
      <protection locked="0"/>
    </xf>
    <xf numFmtId="44" fontId="35" fillId="5" borderId="4" xfId="13" applyFont="1" applyFill="1" applyBorder="1" applyAlignment="1" applyProtection="1">
      <alignment vertical="center" wrapText="1"/>
      <protection locked="0"/>
    </xf>
    <xf numFmtId="0" fontId="35" fillId="5" borderId="1" xfId="12" applyFont="1" applyFill="1" applyBorder="1" applyAlignment="1" applyProtection="1">
      <alignment horizontal="center" vertical="center" wrapText="1"/>
      <protection locked="0"/>
    </xf>
    <xf numFmtId="44" fontId="35" fillId="5" borderId="1" xfId="13" applyFont="1" applyFill="1" applyBorder="1" applyAlignment="1" applyProtection="1">
      <alignment horizontal="center" vertical="center" wrapText="1"/>
      <protection locked="0"/>
    </xf>
    <xf numFmtId="44" fontId="51" fillId="8" borderId="1" xfId="13" applyFont="1" applyFill="1" applyBorder="1" applyAlignment="1">
      <alignment horizontal="center" vertical="center" wrapText="1"/>
    </xf>
    <xf numFmtId="44" fontId="51" fillId="8" borderId="1" xfId="13" applyFont="1" applyFill="1" applyBorder="1" applyAlignment="1">
      <alignment vertical="center" wrapText="1"/>
    </xf>
    <xf numFmtId="0" fontId="35" fillId="5" borderId="9" xfId="12" applyFont="1" applyFill="1" applyBorder="1" applyAlignment="1" applyProtection="1">
      <alignment horizontal="center" vertical="center" wrapText="1"/>
      <protection locked="0"/>
    </xf>
    <xf numFmtId="44" fontId="51" fillId="8" borderId="16" xfId="13" applyFont="1" applyFill="1" applyBorder="1" applyAlignment="1" applyProtection="1">
      <alignment vertical="center" wrapText="1"/>
      <protection locked="0"/>
    </xf>
    <xf numFmtId="44" fontId="35" fillId="3" borderId="9" xfId="13" applyFont="1" applyFill="1" applyBorder="1" applyAlignment="1" applyProtection="1">
      <alignment vertical="center" wrapText="1"/>
      <protection locked="0"/>
    </xf>
    <xf numFmtId="44" fontId="35" fillId="3" borderId="11" xfId="13" applyFont="1" applyFill="1" applyBorder="1" applyAlignment="1" applyProtection="1">
      <alignment vertical="center" wrapText="1"/>
      <protection locked="0"/>
    </xf>
    <xf numFmtId="44" fontId="51" fillId="3" borderId="9" xfId="13" applyFont="1" applyFill="1" applyBorder="1" applyAlignment="1">
      <alignment vertical="center" wrapText="1"/>
    </xf>
    <xf numFmtId="0" fontId="34" fillId="8" borderId="63" xfId="12" applyFont="1" applyFill="1" applyBorder="1" applyAlignment="1">
      <alignment vertical="center" wrapText="1"/>
    </xf>
    <xf numFmtId="44" fontId="51" fillId="8" borderId="7" xfId="12" applyNumberFormat="1" applyFont="1" applyFill="1" applyBorder="1" applyAlignment="1">
      <alignment vertical="center" wrapText="1"/>
    </xf>
    <xf numFmtId="0" fontId="6" fillId="12" borderId="1" xfId="4" applyFont="1" applyFill="1" applyBorder="1" applyAlignment="1">
      <alignment horizontal="center" vertical="center" wrapText="1"/>
    </xf>
    <xf numFmtId="0" fontId="6" fillId="12" borderId="4" xfId="4" applyFont="1" applyFill="1" applyBorder="1" applyAlignment="1">
      <alignment horizontal="center" vertical="center" wrapText="1"/>
    </xf>
    <xf numFmtId="0" fontId="5" fillId="9" borderId="1" xfId="4" applyFill="1" applyBorder="1" applyAlignment="1">
      <alignment horizontal="center" vertical="center"/>
    </xf>
    <xf numFmtId="169" fontId="5" fillId="9" borderId="1" xfId="4" applyNumberFormat="1" applyFill="1" applyBorder="1" applyAlignment="1">
      <alignment horizontal="center" vertical="center"/>
    </xf>
    <xf numFmtId="0" fontId="5" fillId="9" borderId="1" xfId="12" applyFont="1" applyFill="1" applyBorder="1" applyAlignment="1" applyProtection="1">
      <alignment horizontal="center" vertical="center" wrapText="1"/>
      <protection locked="0"/>
    </xf>
    <xf numFmtId="44" fontId="51" fillId="12" borderId="7" xfId="13" applyFont="1" applyFill="1" applyBorder="1" applyAlignment="1">
      <alignment horizontal="center" vertical="center" wrapText="1"/>
    </xf>
    <xf numFmtId="44" fontId="35" fillId="9" borderId="7" xfId="13" applyFont="1" applyFill="1" applyBorder="1" applyAlignment="1" applyProtection="1">
      <alignment vertical="center" wrapText="1"/>
      <protection locked="0"/>
    </xf>
    <xf numFmtId="44" fontId="35" fillId="9" borderId="1" xfId="13" applyFont="1" applyFill="1" applyBorder="1" applyAlignment="1" applyProtection="1">
      <alignment vertical="center" wrapText="1"/>
      <protection locked="0"/>
    </xf>
    <xf numFmtId="44" fontId="51" fillId="12" borderId="7" xfId="13" applyFont="1" applyFill="1" applyBorder="1" applyAlignment="1">
      <alignment vertical="center" wrapText="1"/>
    </xf>
    <xf numFmtId="44" fontId="51" fillId="12" borderId="1" xfId="13" applyFont="1" applyFill="1" applyBorder="1" applyAlignment="1">
      <alignment horizontal="center" vertical="center" wrapText="1"/>
    </xf>
    <xf numFmtId="44" fontId="51" fillId="12" borderId="1" xfId="13" applyFont="1" applyFill="1" applyBorder="1" applyAlignment="1">
      <alignment vertical="center" wrapText="1"/>
    </xf>
    <xf numFmtId="44" fontId="35" fillId="9" borderId="4" xfId="13" applyFont="1" applyFill="1" applyBorder="1" applyAlignment="1" applyProtection="1">
      <alignment vertical="center" wrapText="1"/>
      <protection locked="0"/>
    </xf>
    <xf numFmtId="0" fontId="35" fillId="9" borderId="9" xfId="12" applyFont="1" applyFill="1" applyBorder="1" applyAlignment="1" applyProtection="1">
      <alignment horizontal="center" vertical="center" wrapText="1"/>
      <protection locked="0"/>
    </xf>
    <xf numFmtId="44" fontId="51" fillId="12" borderId="16" xfId="13" applyFont="1" applyFill="1" applyBorder="1" applyAlignment="1" applyProtection="1">
      <alignment vertical="center" wrapText="1"/>
      <protection locked="0"/>
    </xf>
    <xf numFmtId="0" fontId="34" fillId="12" borderId="65" xfId="12" applyFont="1" applyFill="1" applyBorder="1" applyAlignment="1">
      <alignment vertical="center" wrapText="1"/>
    </xf>
    <xf numFmtId="44" fontId="51" fillId="12" borderId="64" xfId="13" applyFont="1" applyFill="1" applyBorder="1" applyAlignment="1">
      <alignment vertical="center" wrapText="1"/>
    </xf>
    <xf numFmtId="44" fontId="51" fillId="12" borderId="64" xfId="13" applyFont="1" applyFill="1" applyBorder="1" applyAlignment="1" applyProtection="1">
      <alignment vertical="center" wrapText="1"/>
      <protection locked="0"/>
    </xf>
    <xf numFmtId="0" fontId="6" fillId="11" borderId="1" xfId="4" applyFont="1" applyFill="1" applyBorder="1" applyAlignment="1">
      <alignment horizontal="center" vertical="center" wrapText="1"/>
    </xf>
    <xf numFmtId="0" fontId="35" fillId="7" borderId="1" xfId="12" applyFont="1" applyFill="1" applyBorder="1" applyAlignment="1" applyProtection="1">
      <alignment horizontal="center" vertical="center" wrapText="1"/>
      <protection locked="0"/>
    </xf>
    <xf numFmtId="0" fontId="35" fillId="7" borderId="9" xfId="12" applyFont="1" applyFill="1" applyBorder="1" applyAlignment="1" applyProtection="1">
      <alignment horizontal="center" vertical="center" wrapText="1"/>
      <protection locked="0"/>
    </xf>
    <xf numFmtId="0" fontId="34" fillId="11" borderId="65" xfId="12" applyFont="1" applyFill="1" applyBorder="1" applyAlignment="1">
      <alignment vertical="center" wrapText="1"/>
    </xf>
    <xf numFmtId="44" fontId="51" fillId="11" borderId="64" xfId="13" applyFont="1" applyFill="1" applyBorder="1" applyAlignment="1">
      <alignment vertical="center" wrapText="1"/>
    </xf>
    <xf numFmtId="44" fontId="51" fillId="11" borderId="64" xfId="13" applyFont="1" applyFill="1" applyBorder="1" applyAlignment="1" applyProtection="1">
      <alignment vertical="center" wrapText="1"/>
      <protection locked="0"/>
    </xf>
    <xf numFmtId="0" fontId="5" fillId="0" borderId="0" xfId="4" applyAlignment="1">
      <alignment horizontal="center"/>
    </xf>
    <xf numFmtId="0" fontId="6" fillId="2" borderId="1" xfId="4" applyFont="1" applyFill="1" applyBorder="1" applyAlignment="1">
      <alignment horizontal="center" vertical="center" wrapText="1"/>
    </xf>
    <xf numFmtId="164" fontId="6" fillId="2" borderId="9" xfId="4" applyNumberFormat="1" applyFont="1" applyFill="1" applyBorder="1" applyAlignment="1">
      <alignment horizontal="center" vertical="center" wrapText="1"/>
    </xf>
    <xf numFmtId="164" fontId="53" fillId="12" borderId="41" xfId="4" applyNumberFormat="1" applyFont="1" applyFill="1" applyBorder="1" applyAlignment="1">
      <alignment horizontal="center" vertical="center" wrapText="1"/>
    </xf>
    <xf numFmtId="0" fontId="6" fillId="2" borderId="7" xfId="4" applyFont="1" applyFill="1" applyBorder="1" applyAlignment="1">
      <alignment horizontal="right" vertical="center"/>
    </xf>
    <xf numFmtId="0" fontId="5" fillId="2" borderId="33" xfId="4" applyFill="1" applyBorder="1" applyAlignment="1">
      <alignment vertical="center"/>
    </xf>
    <xf numFmtId="0" fontId="5" fillId="10" borderId="3" xfId="4" applyFill="1" applyBorder="1" applyAlignment="1">
      <alignment horizontal="center" vertical="center" wrapText="1"/>
    </xf>
    <xf numFmtId="2" fontId="5" fillId="0" borderId="6" xfId="4" applyNumberFormat="1" applyBorder="1"/>
    <xf numFmtId="2" fontId="5" fillId="2" borderId="2" xfId="4" applyNumberFormat="1" applyFill="1" applyBorder="1"/>
    <xf numFmtId="2" fontId="5" fillId="2" borderId="3" xfId="4" applyNumberFormat="1" applyFill="1" applyBorder="1"/>
    <xf numFmtId="167" fontId="5" fillId="0" borderId="6" xfId="4" applyNumberFormat="1" applyBorder="1"/>
    <xf numFmtId="166" fontId="5" fillId="2" borderId="3" xfId="4" applyNumberFormat="1" applyFill="1" applyBorder="1"/>
    <xf numFmtId="166" fontId="5" fillId="2" borderId="2" xfId="4" applyNumberFormat="1" applyFill="1" applyBorder="1"/>
    <xf numFmtId="166" fontId="5" fillId="0" borderId="6" xfId="4" applyNumberFormat="1" applyBorder="1"/>
    <xf numFmtId="0" fontId="6" fillId="0" borderId="0" xfId="4" applyFont="1" applyAlignment="1">
      <alignment horizontal="center" vertical="center" wrapText="1"/>
    </xf>
    <xf numFmtId="0" fontId="35" fillId="9" borderId="7" xfId="12" applyFont="1" applyFill="1" applyBorder="1" applyAlignment="1" applyProtection="1">
      <alignment horizontal="center" vertical="center" wrapText="1"/>
      <protection locked="0"/>
    </xf>
    <xf numFmtId="44" fontId="35" fillId="9" borderId="7" xfId="13" applyFont="1" applyFill="1" applyBorder="1" applyAlignment="1" applyProtection="1">
      <alignment horizontal="center" vertical="center" wrapText="1"/>
      <protection locked="0"/>
    </xf>
    <xf numFmtId="44" fontId="35" fillId="9" borderId="10" xfId="13" applyFont="1" applyFill="1" applyBorder="1" applyAlignment="1" applyProtection="1">
      <alignment vertical="center" wrapText="1"/>
      <protection locked="0"/>
    </xf>
    <xf numFmtId="44" fontId="35" fillId="0" borderId="0" xfId="13" applyFont="1" applyFill="1" applyBorder="1" applyAlignment="1">
      <alignment vertical="center" wrapText="1"/>
    </xf>
    <xf numFmtId="0" fontId="35" fillId="9" borderId="1" xfId="12" applyFont="1" applyFill="1" applyBorder="1" applyAlignment="1" applyProtection="1">
      <alignment horizontal="center" vertical="center" wrapText="1"/>
      <protection locked="0"/>
    </xf>
    <xf numFmtId="44" fontId="35" fillId="9" borderId="1" xfId="13" applyFont="1" applyFill="1" applyBorder="1" applyAlignment="1" applyProtection="1">
      <alignment horizontal="center" vertical="center" wrapText="1"/>
      <protection locked="0"/>
    </xf>
    <xf numFmtId="44" fontId="35" fillId="9" borderId="9" xfId="13" applyFont="1" applyFill="1" applyBorder="1" applyAlignment="1" applyProtection="1">
      <alignment vertical="center" wrapText="1"/>
      <protection locked="0"/>
    </xf>
    <xf numFmtId="44" fontId="35" fillId="9" borderId="11" xfId="13" applyFont="1" applyFill="1" applyBorder="1" applyAlignment="1" applyProtection="1">
      <alignment vertical="center" wrapText="1"/>
      <protection locked="0"/>
    </xf>
    <xf numFmtId="44" fontId="51" fillId="12" borderId="9" xfId="13" applyFont="1" applyFill="1" applyBorder="1" applyAlignment="1">
      <alignment vertical="center" wrapText="1"/>
    </xf>
    <xf numFmtId="0" fontId="6" fillId="11" borderId="4" xfId="4" applyFont="1" applyFill="1" applyBorder="1" applyAlignment="1">
      <alignment horizontal="center" vertical="center" wrapText="1"/>
    </xf>
    <xf numFmtId="44" fontId="35" fillId="7" borderId="1" xfId="13" applyFont="1" applyFill="1" applyBorder="1" applyAlignment="1" applyProtection="1">
      <alignment horizontal="center" vertical="center" wrapText="1"/>
      <protection locked="0"/>
    </xf>
    <xf numFmtId="44" fontId="51" fillId="11" borderId="1" xfId="13" applyFont="1" applyFill="1" applyBorder="1" applyAlignment="1">
      <alignment horizontal="center" vertical="center" wrapText="1"/>
    </xf>
    <xf numFmtId="44" fontId="35" fillId="7" borderId="1" xfId="13" applyFont="1" applyFill="1" applyBorder="1" applyAlignment="1" applyProtection="1">
      <alignment vertical="center" wrapText="1"/>
      <protection locked="0"/>
    </xf>
    <xf numFmtId="44" fontId="35" fillId="7" borderId="4" xfId="13" applyFont="1" applyFill="1" applyBorder="1" applyAlignment="1" applyProtection="1">
      <alignment vertical="center" wrapText="1"/>
      <protection locked="0"/>
    </xf>
    <xf numFmtId="44" fontId="51" fillId="11" borderId="1" xfId="13" applyFont="1" applyFill="1" applyBorder="1" applyAlignment="1">
      <alignment vertical="center" wrapText="1"/>
    </xf>
    <xf numFmtId="44" fontId="35" fillId="7" borderId="9" xfId="13" applyFont="1" applyFill="1" applyBorder="1" applyAlignment="1" applyProtection="1">
      <alignment horizontal="center" vertical="center" wrapText="1"/>
      <protection locked="0"/>
    </xf>
    <xf numFmtId="44" fontId="51" fillId="11" borderId="9" xfId="13" applyFont="1" applyFill="1" applyBorder="1" applyAlignment="1">
      <alignment horizontal="center" vertical="center" wrapText="1"/>
    </xf>
    <xf numFmtId="44" fontId="35" fillId="7" borderId="9" xfId="13" applyFont="1" applyFill="1" applyBorder="1" applyAlignment="1" applyProtection="1">
      <alignment vertical="center" wrapText="1"/>
      <protection locked="0"/>
    </xf>
    <xf numFmtId="44" fontId="35" fillId="7" borderId="11" xfId="13" applyFont="1" applyFill="1" applyBorder="1" applyAlignment="1" applyProtection="1">
      <alignment vertical="center" wrapText="1"/>
      <protection locked="0"/>
    </xf>
    <xf numFmtId="44" fontId="51" fillId="11" borderId="9" xfId="13" applyFont="1" applyFill="1" applyBorder="1" applyAlignment="1">
      <alignment vertical="center" wrapText="1"/>
    </xf>
    <xf numFmtId="44" fontId="35" fillId="0" borderId="0" xfId="13" applyFont="1" applyFill="1" applyBorder="1" applyAlignment="1">
      <alignment horizontal="left" vertical="center" wrapText="1"/>
    </xf>
    <xf numFmtId="44" fontId="51" fillId="11" borderId="64" xfId="2" applyFont="1" applyFill="1" applyBorder="1" applyAlignment="1">
      <alignment vertical="center" wrapText="1"/>
    </xf>
    <xf numFmtId="0" fontId="5" fillId="5" borderId="4" xfId="4" applyFill="1" applyBorder="1" applyAlignment="1">
      <alignment vertical="center"/>
    </xf>
    <xf numFmtId="0" fontId="5" fillId="9" borderId="5" xfId="4" applyFill="1" applyBorder="1" applyAlignment="1">
      <alignment horizontal="center" vertical="center"/>
    </xf>
    <xf numFmtId="0" fontId="5" fillId="9" borderId="4" xfId="4" applyFill="1" applyBorder="1" applyAlignment="1">
      <alignment vertical="center"/>
    </xf>
    <xf numFmtId="0" fontId="5" fillId="7" borderId="4" xfId="4" applyFill="1" applyBorder="1" applyAlignment="1">
      <alignment vertical="center"/>
    </xf>
    <xf numFmtId="164" fontId="5" fillId="12" borderId="29" xfId="2" applyNumberFormat="1" applyFill="1" applyBorder="1" applyAlignment="1">
      <alignment horizontal="right" vertical="center"/>
    </xf>
    <xf numFmtId="164" fontId="5" fillId="12" borderId="30" xfId="2" applyNumberFormat="1" applyFill="1" applyBorder="1" applyAlignment="1">
      <alignment horizontal="right" vertical="center"/>
    </xf>
    <xf numFmtId="0" fontId="5" fillId="0" borderId="1" xfId="4" applyBorder="1" applyAlignment="1">
      <alignment vertical="center" wrapText="1"/>
    </xf>
    <xf numFmtId="0" fontId="5" fillId="9" borderId="9" xfId="4" applyFill="1" applyBorder="1" applyAlignment="1">
      <alignment horizontal="center" vertical="center"/>
    </xf>
    <xf numFmtId="0" fontId="35" fillId="9" borderId="43" xfId="4" applyFont="1" applyFill="1" applyBorder="1" applyAlignment="1">
      <alignment horizontal="center" vertical="center" wrapText="1"/>
    </xf>
    <xf numFmtId="0" fontId="35" fillId="9" borderId="44" xfId="4" applyFont="1" applyFill="1" applyBorder="1" applyAlignment="1">
      <alignment horizontal="center" vertical="center" wrapText="1"/>
    </xf>
    <xf numFmtId="0" fontId="35" fillId="9" borderId="42" xfId="4" applyFont="1" applyFill="1" applyBorder="1" applyAlignment="1">
      <alignment horizontal="center" vertical="center" wrapText="1"/>
    </xf>
    <xf numFmtId="0" fontId="35" fillId="9" borderId="29" xfId="4" applyFont="1" applyFill="1" applyBorder="1" applyAlignment="1">
      <alignment horizontal="center" vertical="center" wrapText="1"/>
    </xf>
    <xf numFmtId="0" fontId="35" fillId="9" borderId="47" xfId="4" applyFont="1" applyFill="1" applyBorder="1" applyAlignment="1">
      <alignment horizontal="center" vertical="center" wrapText="1"/>
    </xf>
    <xf numFmtId="0" fontId="35" fillId="9" borderId="48" xfId="4" applyFont="1" applyFill="1" applyBorder="1" applyAlignment="1">
      <alignment horizontal="center" vertical="center" wrapText="1"/>
    </xf>
    <xf numFmtId="0" fontId="35" fillId="9" borderId="46" xfId="4" applyFont="1" applyFill="1" applyBorder="1" applyAlignment="1">
      <alignment horizontal="center" vertical="center" wrapText="1"/>
    </xf>
    <xf numFmtId="0" fontId="35" fillId="9" borderId="30" xfId="4" applyFont="1" applyFill="1" applyBorder="1" applyAlignment="1">
      <alignment horizontal="center" vertical="center" wrapText="1"/>
    </xf>
    <xf numFmtId="0" fontId="5" fillId="0" borderId="0" xfId="4" applyAlignment="1">
      <alignment vertical="center"/>
    </xf>
    <xf numFmtId="0" fontId="6" fillId="12" borderId="5" xfId="4" applyFont="1" applyFill="1" applyBorder="1" applyAlignment="1">
      <alignment horizontal="center" wrapText="1"/>
    </xf>
    <xf numFmtId="44" fontId="35" fillId="3" borderId="16" xfId="13" applyFont="1" applyFill="1" applyBorder="1" applyAlignment="1" applyProtection="1">
      <alignment vertical="center" wrapText="1"/>
      <protection locked="0"/>
    </xf>
    <xf numFmtId="44" fontId="35" fillId="3" borderId="31" xfId="13" applyFont="1" applyFill="1" applyBorder="1" applyAlignment="1" applyProtection="1">
      <alignment vertical="center" wrapText="1"/>
      <protection locked="0"/>
    </xf>
    <xf numFmtId="44" fontId="51" fillId="3" borderId="16" xfId="13" applyFont="1" applyFill="1" applyBorder="1" applyAlignment="1">
      <alignment vertical="center" wrapText="1"/>
    </xf>
    <xf numFmtId="0" fontId="46" fillId="9" borderId="4" xfId="4" applyFont="1" applyFill="1" applyBorder="1" applyAlignment="1" applyProtection="1">
      <alignment vertical="center"/>
      <protection locked="0"/>
    </xf>
    <xf numFmtId="0" fontId="6" fillId="5" borderId="1" xfId="4" applyFont="1" applyFill="1" applyBorder="1" applyAlignment="1">
      <alignment horizontal="center" vertical="center" wrapText="1"/>
    </xf>
    <xf numFmtId="0" fontId="6" fillId="11" borderId="6" xfId="4" applyFont="1" applyFill="1" applyBorder="1" applyAlignment="1">
      <alignment horizontal="center" vertical="center" wrapText="1"/>
    </xf>
    <xf numFmtId="0" fontId="6" fillId="11" borderId="12" xfId="4" applyFont="1" applyFill="1" applyBorder="1" applyAlignment="1">
      <alignment horizontal="center" vertical="center" wrapText="1"/>
    </xf>
    <xf numFmtId="44" fontId="35" fillId="11" borderId="0" xfId="13" applyFont="1" applyFill="1" applyBorder="1" applyAlignment="1" applyProtection="1">
      <alignment vertical="center" wrapText="1"/>
      <protection locked="0"/>
    </xf>
    <xf numFmtId="44" fontId="35" fillId="11" borderId="0" xfId="13" applyFont="1" applyFill="1" applyBorder="1" applyAlignment="1" applyProtection="1">
      <alignment horizontal="center" vertical="center" wrapText="1"/>
      <protection locked="0"/>
    </xf>
    <xf numFmtId="44" fontId="35" fillId="11" borderId="14" xfId="13" applyFont="1" applyFill="1" applyBorder="1" applyAlignment="1">
      <alignment horizontal="center" vertical="center" wrapText="1"/>
    </xf>
    <xf numFmtId="44" fontId="35" fillId="11" borderId="13" xfId="13" applyFont="1" applyFill="1" applyBorder="1" applyAlignment="1" applyProtection="1">
      <alignment horizontal="center" vertical="center" wrapText="1"/>
      <protection locked="0"/>
    </xf>
    <xf numFmtId="44" fontId="51" fillId="11" borderId="68" xfId="13" applyFont="1" applyFill="1" applyBorder="1" applyAlignment="1" applyProtection="1">
      <alignment vertical="center" wrapText="1"/>
      <protection locked="0"/>
    </xf>
    <xf numFmtId="44" fontId="51" fillId="11" borderId="69" xfId="2" applyFont="1" applyFill="1" applyBorder="1" applyAlignment="1" applyProtection="1">
      <alignment vertical="center" wrapText="1"/>
      <protection locked="0"/>
    </xf>
    <xf numFmtId="0" fontId="5" fillId="9" borderId="1" xfId="0" applyFont="1" applyFill="1" applyBorder="1" applyAlignment="1">
      <alignment horizontal="center" vertical="center"/>
    </xf>
    <xf numFmtId="0" fontId="6" fillId="0" borderId="2" xfId="0" applyFont="1" applyBorder="1" applyAlignment="1">
      <alignment horizontal="right" wrapText="1"/>
    </xf>
    <xf numFmtId="0" fontId="6" fillId="0" borderId="0" xfId="0" applyFont="1" applyAlignment="1">
      <alignment horizontal="center"/>
    </xf>
    <xf numFmtId="0" fontId="54" fillId="0" borderId="0" xfId="7" applyFont="1" applyAlignment="1">
      <alignment vertical="center"/>
    </xf>
    <xf numFmtId="0" fontId="10" fillId="0" borderId="0" xfId="7" applyFont="1" applyAlignment="1">
      <alignment vertical="center"/>
    </xf>
    <xf numFmtId="49" fontId="6" fillId="6" borderId="0" xfId="7" applyNumberFormat="1" applyFont="1" applyFill="1" applyAlignment="1">
      <alignment horizontal="left" vertical="center"/>
    </xf>
    <xf numFmtId="0" fontId="6" fillId="6" borderId="0" xfId="3" applyFont="1" applyFill="1" applyAlignment="1" applyProtection="1">
      <alignment vertical="center" wrapText="1"/>
    </xf>
    <xf numFmtId="0" fontId="6" fillId="6" borderId="0" xfId="7" applyFont="1" applyFill="1" applyAlignment="1">
      <alignment vertical="center" wrapText="1"/>
    </xf>
    <xf numFmtId="0" fontId="6" fillId="0" borderId="0" xfId="7" applyFont="1" applyAlignment="1">
      <alignment vertical="center"/>
    </xf>
    <xf numFmtId="0" fontId="5" fillId="0" borderId="0" xfId="7" applyFont="1" applyAlignment="1">
      <alignment vertical="center"/>
    </xf>
    <xf numFmtId="0" fontId="11" fillId="0" borderId="0" xfId="7" applyFont="1" applyAlignment="1">
      <alignment vertical="center"/>
    </xf>
    <xf numFmtId="0" fontId="5" fillId="0" borderId="0" xfId="7" applyFont="1" applyAlignment="1">
      <alignment vertical="top"/>
    </xf>
    <xf numFmtId="0" fontId="11" fillId="0" borderId="0" xfId="7" applyFont="1" applyAlignment="1">
      <alignment vertical="top"/>
    </xf>
    <xf numFmtId="44" fontId="6" fillId="0" borderId="0" xfId="2" applyFont="1" applyFill="1" applyBorder="1" applyAlignment="1">
      <alignment horizontal="left" vertical="center" wrapText="1"/>
    </xf>
    <xf numFmtId="44" fontId="6" fillId="15" borderId="71" xfId="2" applyFont="1" applyFill="1" applyBorder="1" applyAlignment="1">
      <alignment vertical="center"/>
    </xf>
    <xf numFmtId="0" fontId="5" fillId="15" borderId="17" xfId="0" applyFont="1" applyFill="1" applyBorder="1" applyAlignment="1">
      <alignment vertical="center"/>
    </xf>
    <xf numFmtId="0" fontId="5" fillId="15" borderId="1" xfId="0" applyFont="1" applyFill="1" applyBorder="1" applyAlignment="1">
      <alignment vertical="center"/>
    </xf>
    <xf numFmtId="0" fontId="6" fillId="15" borderId="41" xfId="0" applyFont="1" applyFill="1" applyBorder="1" applyAlignment="1">
      <alignment horizontal="center" vertical="center"/>
    </xf>
    <xf numFmtId="0" fontId="6" fillId="15" borderId="34" xfId="0" applyFont="1" applyFill="1" applyBorder="1" applyAlignment="1">
      <alignment horizontal="center" vertical="center"/>
    </xf>
    <xf numFmtId="0" fontId="5" fillId="15" borderId="18" xfId="0" applyFont="1" applyFill="1" applyBorder="1" applyAlignment="1">
      <alignment vertical="center"/>
    </xf>
    <xf numFmtId="0" fontId="5" fillId="15" borderId="19" xfId="0" applyFont="1" applyFill="1" applyBorder="1" applyAlignment="1">
      <alignment vertical="center"/>
    </xf>
    <xf numFmtId="0" fontId="5" fillId="15" borderId="26" xfId="0" applyFont="1" applyFill="1" applyBorder="1" applyAlignment="1">
      <alignment vertical="center"/>
    </xf>
    <xf numFmtId="0" fontId="5" fillId="15" borderId="20" xfId="0" applyFont="1" applyFill="1" applyBorder="1" applyAlignment="1">
      <alignment vertical="center"/>
    </xf>
    <xf numFmtId="0" fontId="6" fillId="0" borderId="0" xfId="4" applyFont="1" applyAlignment="1">
      <alignment horizontal="center" vertical="center"/>
    </xf>
    <xf numFmtId="0" fontId="6" fillId="0" borderId="0" xfId="4" applyFont="1" applyAlignment="1">
      <alignment horizontal="right"/>
    </xf>
    <xf numFmtId="0" fontId="21" fillId="0" borderId="0" xfId="4" applyFont="1" applyAlignment="1">
      <alignment horizontal="left" wrapText="1"/>
    </xf>
    <xf numFmtId="3" fontId="6" fillId="0" borderId="0" xfId="4" applyNumberFormat="1" applyFont="1" applyAlignment="1">
      <alignment horizontal="center"/>
    </xf>
    <xf numFmtId="0" fontId="6" fillId="0" borderId="0" xfId="4" applyFont="1" applyAlignment="1">
      <alignment horizontal="right" vertical="center" wrapText="1"/>
    </xf>
    <xf numFmtId="0" fontId="6" fillId="9" borderId="0" xfId="4" applyFont="1" applyFill="1" applyAlignment="1">
      <alignment horizontal="right" vertical="center"/>
    </xf>
    <xf numFmtId="3" fontId="6" fillId="9" borderId="0" xfId="4" applyNumberFormat="1" applyFont="1" applyFill="1" applyAlignment="1">
      <alignment horizontal="right" vertical="center"/>
    </xf>
    <xf numFmtId="0" fontId="6" fillId="0" borderId="0" xfId="4" applyFont="1" applyAlignment="1">
      <alignment horizontal="right" wrapText="1"/>
    </xf>
    <xf numFmtId="164" fontId="6" fillId="15" borderId="71" xfId="4" applyNumberFormat="1" applyFont="1" applyFill="1" applyBorder="1" applyAlignment="1">
      <alignment horizontal="center" vertical="center" wrapText="1"/>
    </xf>
    <xf numFmtId="0" fontId="6" fillId="2" borderId="58" xfId="4" applyFont="1" applyFill="1" applyBorder="1" applyAlignment="1">
      <alignment horizontal="center" vertical="center" wrapText="1"/>
    </xf>
    <xf numFmtId="164" fontId="6" fillId="2" borderId="62" xfId="4" applyNumberFormat="1" applyFont="1" applyFill="1" applyBorder="1" applyAlignment="1">
      <alignment horizontal="center" vertical="center" wrapText="1"/>
    </xf>
    <xf numFmtId="0" fontId="6" fillId="15" borderId="41" xfId="4" applyFont="1" applyFill="1" applyBorder="1" applyAlignment="1">
      <alignment horizontal="center" vertical="center"/>
    </xf>
    <xf numFmtId="0" fontId="6" fillId="15" borderId="34" xfId="4" applyFont="1" applyFill="1" applyBorder="1" applyAlignment="1">
      <alignment horizontal="center" vertical="center"/>
    </xf>
    <xf numFmtId="0" fontId="6" fillId="2" borderId="54" xfId="4" applyFont="1" applyFill="1" applyBorder="1" applyAlignment="1">
      <alignment vertical="center"/>
    </xf>
    <xf numFmtId="164" fontId="6" fillId="15" borderId="27" xfId="4" applyNumberFormat="1" applyFont="1" applyFill="1" applyBorder="1" applyAlignment="1">
      <alignment vertical="center"/>
    </xf>
    <xf numFmtId="164" fontId="6" fillId="3" borderId="20" xfId="4" applyNumberFormat="1" applyFont="1" applyFill="1" applyBorder="1" applyAlignment="1">
      <alignment vertical="center"/>
    </xf>
    <xf numFmtId="0" fontId="6" fillId="0" borderId="0" xfId="4" applyFont="1" applyAlignment="1">
      <alignment horizontal="center"/>
    </xf>
    <xf numFmtId="0" fontId="36" fillId="3" borderId="13" xfId="4" applyFont="1" applyFill="1" applyBorder="1" applyAlignment="1">
      <alignment vertical="center" wrapText="1"/>
    </xf>
    <xf numFmtId="0" fontId="36" fillId="3" borderId="0" xfId="4" applyFont="1" applyFill="1" applyAlignment="1">
      <alignment vertical="center" wrapText="1"/>
    </xf>
    <xf numFmtId="0" fontId="36" fillId="3" borderId="67" xfId="4" applyFont="1" applyFill="1" applyBorder="1" applyAlignment="1">
      <alignment vertical="center" wrapText="1"/>
    </xf>
    <xf numFmtId="0" fontId="36" fillId="3" borderId="68" xfId="4" applyFont="1" applyFill="1" applyBorder="1" applyAlignment="1">
      <alignment vertical="center" wrapText="1"/>
    </xf>
    <xf numFmtId="0" fontId="5" fillId="4" borderId="1" xfId="4" applyFill="1" applyBorder="1" applyAlignment="1">
      <alignment horizontal="center"/>
    </xf>
    <xf numFmtId="0" fontId="5" fillId="9" borderId="1" xfId="4" applyFill="1" applyBorder="1" applyAlignment="1">
      <alignment horizontal="center"/>
    </xf>
    <xf numFmtId="0" fontId="6" fillId="15" borderId="2" xfId="0" applyFont="1" applyFill="1" applyBorder="1" applyAlignment="1">
      <alignment horizontal="center" vertical="center" wrapText="1"/>
    </xf>
    <xf numFmtId="0" fontId="6" fillId="15" borderId="5" xfId="0" applyFont="1" applyFill="1" applyBorder="1" applyAlignment="1">
      <alignment horizontal="center" vertical="center"/>
    </xf>
    <xf numFmtId="0" fontId="6" fillId="15" borderId="40" xfId="0" applyFont="1" applyFill="1" applyBorder="1" applyAlignment="1">
      <alignment horizontal="center" vertical="center"/>
    </xf>
    <xf numFmtId="0" fontId="6" fillId="15" borderId="51" xfId="0" applyFont="1" applyFill="1" applyBorder="1" applyAlignment="1">
      <alignment horizontal="center" vertical="center" wrapText="1"/>
    </xf>
    <xf numFmtId="0" fontId="6" fillId="15" borderId="8" xfId="0" applyFont="1" applyFill="1" applyBorder="1" applyAlignment="1">
      <alignment horizontal="center" vertical="center" wrapText="1"/>
    </xf>
    <xf numFmtId="44" fontId="0" fillId="9" borderId="1" xfId="2" applyFont="1" applyFill="1" applyBorder="1" applyAlignment="1">
      <alignment horizontal="center" vertical="center"/>
    </xf>
    <xf numFmtId="0" fontId="5" fillId="0" borderId="0" xfId="4" applyAlignment="1">
      <alignment horizontal="left" wrapText="1"/>
    </xf>
    <xf numFmtId="0" fontId="36" fillId="0" borderId="1" xfId="4" applyFont="1" applyBorder="1" applyAlignment="1" applyProtection="1">
      <alignment horizontal="center" vertical="center" wrapText="1"/>
      <protection locked="0"/>
    </xf>
    <xf numFmtId="0" fontId="36" fillId="18" borderId="1" xfId="4" applyFont="1" applyFill="1" applyBorder="1" applyAlignment="1" applyProtection="1">
      <alignment horizontal="center" vertical="center" wrapText="1"/>
      <protection locked="0"/>
    </xf>
    <xf numFmtId="4" fontId="5" fillId="13" borderId="1" xfId="4" applyNumberFormat="1" applyFill="1" applyBorder="1" applyAlignment="1" applyProtection="1">
      <alignment horizontal="center" vertical="center"/>
      <protection locked="0"/>
    </xf>
    <xf numFmtId="0" fontId="36" fillId="18" borderId="1" xfId="4" applyFont="1" applyFill="1" applyBorder="1" applyAlignment="1" applyProtection="1">
      <alignment horizontal="center" vertical="center"/>
      <protection locked="0"/>
    </xf>
    <xf numFmtId="0" fontId="46" fillId="18" borderId="1" xfId="4" applyFont="1" applyFill="1" applyBorder="1" applyAlignment="1" applyProtection="1">
      <alignment horizontal="center" vertical="center"/>
      <protection locked="0"/>
    </xf>
    <xf numFmtId="0" fontId="36" fillId="18" borderId="1" xfId="4" applyFont="1" applyFill="1" applyBorder="1" applyAlignment="1" applyProtection="1">
      <alignment horizontal="left" vertical="center"/>
      <protection locked="0"/>
    </xf>
    <xf numFmtId="4" fontId="46" fillId="13" borderId="1" xfId="4" applyNumberFormat="1" applyFont="1" applyFill="1" applyBorder="1" applyAlignment="1" applyProtection="1">
      <alignment horizontal="center" vertical="center"/>
      <protection locked="0"/>
    </xf>
    <xf numFmtId="0" fontId="46" fillId="18" borderId="1" xfId="4" applyFont="1" applyFill="1" applyBorder="1" applyAlignment="1" applyProtection="1">
      <alignment horizontal="left" vertical="center"/>
      <protection locked="0"/>
    </xf>
    <xf numFmtId="0" fontId="6" fillId="0" borderId="0" xfId="4" applyFont="1" applyProtection="1">
      <protection locked="0"/>
    </xf>
    <xf numFmtId="0" fontId="27" fillId="0" borderId="0" xfId="4" applyFont="1" applyAlignment="1" applyProtection="1">
      <alignment wrapText="1"/>
      <protection locked="0"/>
    </xf>
    <xf numFmtId="0" fontId="15" fillId="0" borderId="0" xfId="4" applyFont="1"/>
    <xf numFmtId="0" fontId="6" fillId="2" borderId="1" xfId="4" applyFont="1" applyFill="1" applyBorder="1" applyAlignment="1">
      <alignment horizontal="center" vertical="center"/>
    </xf>
    <xf numFmtId="0" fontId="6" fillId="2" borderId="1" xfId="4" applyFont="1" applyFill="1" applyBorder="1" applyAlignment="1">
      <alignment horizontal="center" wrapText="1"/>
    </xf>
    <xf numFmtId="0" fontId="5" fillId="9" borderId="1" xfId="4" applyFill="1" applyBorder="1"/>
    <xf numFmtId="0" fontId="6" fillId="18" borderId="1" xfId="4" applyFont="1" applyFill="1" applyBorder="1" applyAlignment="1">
      <alignment horizontal="center" vertical="center"/>
    </xf>
    <xf numFmtId="0" fontId="6" fillId="18" borderId="1" xfId="4" applyFont="1" applyFill="1" applyBorder="1" applyAlignment="1">
      <alignment horizontal="center" wrapText="1"/>
    </xf>
    <xf numFmtId="0" fontId="6" fillId="18" borderId="1" xfId="4" applyFont="1" applyFill="1" applyBorder="1" applyAlignment="1">
      <alignment horizontal="center"/>
    </xf>
    <xf numFmtId="0" fontId="8" fillId="18" borderId="1" xfId="4" applyFont="1" applyFill="1" applyBorder="1"/>
    <xf numFmtId="0" fontId="9" fillId="18" borderId="1" xfId="4" applyFont="1" applyFill="1" applyBorder="1" applyAlignment="1">
      <alignment horizontal="center" wrapText="1"/>
    </xf>
    <xf numFmtId="0" fontId="9" fillId="18" borderId="1" xfId="4" applyFont="1" applyFill="1" applyBorder="1" applyAlignment="1">
      <alignment horizontal="center"/>
    </xf>
    <xf numFmtId="0" fontId="5" fillId="18" borderId="1" xfId="4" applyFill="1" applyBorder="1"/>
    <xf numFmtId="0" fontId="5" fillId="18" borderId="1" xfId="4" applyFill="1" applyBorder="1" applyAlignment="1">
      <alignment horizontal="center"/>
    </xf>
    <xf numFmtId="0" fontId="5" fillId="0" borderId="0" xfId="4" applyAlignment="1">
      <alignment horizontal="center" vertical="center"/>
    </xf>
    <xf numFmtId="0" fontId="6" fillId="14" borderId="47" xfId="4" applyFont="1" applyFill="1" applyBorder="1" applyAlignment="1">
      <alignment horizontal="center" vertical="center"/>
    </xf>
    <xf numFmtId="0" fontId="6" fillId="14" borderId="49" xfId="4" applyFont="1" applyFill="1" applyBorder="1" applyAlignment="1">
      <alignment horizontal="center" vertical="center"/>
    </xf>
    <xf numFmtId="0" fontId="6" fillId="14" borderId="75" xfId="4" applyFont="1" applyFill="1" applyBorder="1" applyAlignment="1">
      <alignment horizontal="center" vertical="center"/>
    </xf>
    <xf numFmtId="0" fontId="5" fillId="9" borderId="41" xfId="4" applyFill="1" applyBorder="1" applyAlignment="1">
      <alignment wrapText="1"/>
    </xf>
    <xf numFmtId="0" fontId="5" fillId="9" borderId="76" xfId="4" applyFill="1" applyBorder="1" applyAlignment="1">
      <alignment horizontal="center" wrapText="1"/>
    </xf>
    <xf numFmtId="0" fontId="5" fillId="9" borderId="77" xfId="4" applyFill="1" applyBorder="1" applyAlignment="1">
      <alignment horizontal="center" wrapText="1"/>
    </xf>
    <xf numFmtId="0" fontId="5" fillId="9" borderId="78" xfId="4" applyFill="1" applyBorder="1" applyAlignment="1">
      <alignment horizontal="center" wrapText="1"/>
    </xf>
    <xf numFmtId="44" fontId="0" fillId="9" borderId="79" xfId="2" applyFont="1" applyFill="1" applyBorder="1" applyAlignment="1">
      <alignment wrapText="1"/>
    </xf>
    <xf numFmtId="0" fontId="5" fillId="9" borderId="29" xfId="4" applyFill="1" applyBorder="1" applyAlignment="1">
      <alignment wrapText="1"/>
    </xf>
    <xf numFmtId="0" fontId="5" fillId="9" borderId="43" xfId="4" applyFill="1" applyBorder="1" applyAlignment="1">
      <alignment horizontal="center" wrapText="1"/>
    </xf>
    <xf numFmtId="0" fontId="5" fillId="9" borderId="45" xfId="4" applyFill="1" applyBorder="1" applyAlignment="1">
      <alignment horizontal="center" wrapText="1"/>
    </xf>
    <xf numFmtId="0" fontId="5" fillId="9" borderId="80" xfId="4" applyFill="1" applyBorder="1" applyAlignment="1">
      <alignment horizontal="center" wrapText="1"/>
    </xf>
    <xf numFmtId="44" fontId="0" fillId="9" borderId="42" xfId="2" applyFont="1" applyFill="1" applyBorder="1" applyAlignment="1">
      <alignment wrapText="1"/>
    </xf>
    <xf numFmtId="0" fontId="5" fillId="9" borderId="43" xfId="4" applyFill="1" applyBorder="1" applyAlignment="1">
      <alignment wrapText="1"/>
    </xf>
    <xf numFmtId="0" fontId="5" fillId="9" borderId="45" xfId="4" applyFill="1" applyBorder="1" applyAlignment="1">
      <alignment wrapText="1"/>
    </xf>
    <xf numFmtId="0" fontId="5" fillId="9" borderId="80" xfId="4" applyFill="1" applyBorder="1" applyAlignment="1">
      <alignment wrapText="1"/>
    </xf>
    <xf numFmtId="0" fontId="5" fillId="2" borderId="38" xfId="4" applyFill="1" applyBorder="1"/>
    <xf numFmtId="0" fontId="5" fillId="2" borderId="39" xfId="4" applyFill="1" applyBorder="1"/>
    <xf numFmtId="0" fontId="6" fillId="2" borderId="39" xfId="4" applyFont="1" applyFill="1" applyBorder="1" applyAlignment="1">
      <alignment horizontal="right"/>
    </xf>
    <xf numFmtId="44" fontId="6" fillId="2" borderId="30" xfId="2" applyFont="1" applyFill="1" applyBorder="1"/>
    <xf numFmtId="0" fontId="37" fillId="0" borderId="0" xfId="4" applyFont="1" applyAlignment="1">
      <alignment horizontal="right"/>
    </xf>
    <xf numFmtId="0" fontId="6" fillId="0" borderId="0" xfId="4" applyFont="1" applyAlignment="1">
      <alignment vertical="center" wrapText="1"/>
    </xf>
    <xf numFmtId="0" fontId="5" fillId="9" borderId="30" xfId="4" applyFill="1" applyBorder="1" applyAlignment="1">
      <alignment wrapText="1"/>
    </xf>
    <xf numFmtId="44" fontId="0" fillId="0" borderId="0" xfId="2" applyFont="1" applyFill="1" applyBorder="1" applyAlignment="1">
      <alignment wrapText="1"/>
    </xf>
    <xf numFmtId="0" fontId="5" fillId="9" borderId="23" xfId="4" applyFill="1" applyBorder="1" applyAlignment="1">
      <alignment wrapText="1"/>
    </xf>
    <xf numFmtId="0" fontId="5" fillId="9" borderId="55" xfId="4" applyFill="1" applyBorder="1" applyAlignment="1">
      <alignment wrapText="1"/>
    </xf>
    <xf numFmtId="0" fontId="5" fillId="9" borderId="38" xfId="4" applyFill="1" applyBorder="1" applyAlignment="1">
      <alignment wrapText="1"/>
    </xf>
    <xf numFmtId="0" fontId="33" fillId="14" borderId="47" xfId="4" applyFont="1" applyFill="1" applyBorder="1" applyAlignment="1">
      <alignment horizontal="center" wrapText="1"/>
    </xf>
    <xf numFmtId="0" fontId="33" fillId="14" borderId="49" xfId="4" applyFont="1" applyFill="1" applyBorder="1" applyAlignment="1">
      <alignment horizontal="center" wrapText="1"/>
    </xf>
    <xf numFmtId="0" fontId="33" fillId="14" borderId="75" xfId="4" applyFont="1" applyFill="1" applyBorder="1" applyAlignment="1">
      <alignment horizontal="center" wrapText="1"/>
    </xf>
    <xf numFmtId="0" fontId="34" fillId="11" borderId="47" xfId="4" applyFont="1" applyFill="1" applyBorder="1" applyAlignment="1">
      <alignment horizontal="center" wrapText="1"/>
    </xf>
    <xf numFmtId="0" fontId="34" fillId="11" borderId="48" xfId="4" applyFont="1" applyFill="1" applyBorder="1" applyAlignment="1">
      <alignment horizontal="center" wrapText="1"/>
    </xf>
    <xf numFmtId="0" fontId="34" fillId="11" borderId="46" xfId="4" applyFont="1" applyFill="1" applyBorder="1" applyAlignment="1">
      <alignment horizontal="center" wrapText="1"/>
    </xf>
    <xf numFmtId="0" fontId="34" fillId="8" borderId="48" xfId="4" applyFont="1" applyFill="1" applyBorder="1" applyAlignment="1">
      <alignment horizontal="center" wrapText="1"/>
    </xf>
    <xf numFmtId="0" fontId="34" fillId="8" borderId="49" xfId="4" applyFont="1" applyFill="1" applyBorder="1" applyAlignment="1">
      <alignment horizontal="center" wrapText="1"/>
    </xf>
    <xf numFmtId="0" fontId="34" fillId="15" borderId="48" xfId="4" applyFont="1" applyFill="1" applyBorder="1" applyAlignment="1">
      <alignment horizontal="center" wrapText="1"/>
    </xf>
    <xf numFmtId="0" fontId="34" fillId="15" borderId="49" xfId="4" applyFont="1" applyFill="1" applyBorder="1" applyAlignment="1">
      <alignment horizontal="center" wrapText="1"/>
    </xf>
    <xf numFmtId="0" fontId="34" fillId="15" borderId="46" xfId="4" applyFont="1" applyFill="1" applyBorder="1" applyAlignment="1">
      <alignment horizontal="center" wrapText="1"/>
    </xf>
    <xf numFmtId="0" fontId="34" fillId="23" borderId="48" xfId="4" applyFont="1" applyFill="1" applyBorder="1" applyAlignment="1">
      <alignment horizontal="center" wrapText="1"/>
    </xf>
    <xf numFmtId="0" fontId="34" fillId="23" borderId="49" xfId="4" applyFont="1" applyFill="1" applyBorder="1" applyAlignment="1">
      <alignment horizontal="center" wrapText="1"/>
    </xf>
    <xf numFmtId="0" fontId="34" fillId="23" borderId="46" xfId="4" applyFont="1" applyFill="1" applyBorder="1" applyAlignment="1">
      <alignment horizontal="center" wrapText="1"/>
    </xf>
    <xf numFmtId="0" fontId="5" fillId="9" borderId="10" xfId="4" applyFill="1" applyBorder="1" applyAlignment="1">
      <alignment horizontal="center" vertical="center" wrapText="1"/>
    </xf>
    <xf numFmtId="0" fontId="35" fillId="9" borderId="76" xfId="4" applyFont="1" applyFill="1" applyBorder="1" applyAlignment="1">
      <alignment horizontal="center" vertical="center" wrapText="1"/>
    </xf>
    <xf numFmtId="0" fontId="35" fillId="9" borderId="84" xfId="4" applyFont="1" applyFill="1" applyBorder="1" applyAlignment="1">
      <alignment horizontal="center" vertical="center" wrapText="1"/>
    </xf>
    <xf numFmtId="0" fontId="35" fillId="9" borderId="79" xfId="4" applyFont="1" applyFill="1" applyBorder="1" applyAlignment="1">
      <alignment horizontal="center" vertical="center" wrapText="1"/>
    </xf>
    <xf numFmtId="49" fontId="5" fillId="9" borderId="28" xfId="4" applyNumberFormat="1" applyFill="1" applyBorder="1" applyAlignment="1">
      <alignment horizontal="center" vertical="center" wrapText="1"/>
    </xf>
    <xf numFmtId="0" fontId="35" fillId="7" borderId="85" xfId="4" applyFont="1" applyFill="1" applyBorder="1" applyAlignment="1">
      <alignment horizontal="center" vertical="center" wrapText="1"/>
    </xf>
    <xf numFmtId="0" fontId="35" fillId="7" borderId="84" xfId="4" applyFont="1" applyFill="1" applyBorder="1" applyAlignment="1">
      <alignment horizontal="center" vertical="center" wrapText="1"/>
    </xf>
    <xf numFmtId="0" fontId="35" fillId="5" borderId="85" xfId="4" applyFont="1" applyFill="1" applyBorder="1" applyAlignment="1">
      <alignment horizontal="center" vertical="center" wrapText="1"/>
    </xf>
    <xf numFmtId="0" fontId="35" fillId="5" borderId="84" xfId="4" applyFont="1" applyFill="1" applyBorder="1" applyAlignment="1">
      <alignment horizontal="center" vertical="center" wrapText="1"/>
    </xf>
    <xf numFmtId="0" fontId="35" fillId="9" borderId="28" xfId="4" applyFont="1" applyFill="1" applyBorder="1" applyAlignment="1">
      <alignment horizontal="center" vertical="center" wrapText="1"/>
    </xf>
    <xf numFmtId="0" fontId="35" fillId="18" borderId="28" xfId="4" applyFont="1" applyFill="1" applyBorder="1" applyAlignment="1">
      <alignment horizontal="center" vertical="center" wrapText="1"/>
    </xf>
    <xf numFmtId="0" fontId="35" fillId="24" borderId="85" xfId="4" applyFont="1" applyFill="1" applyBorder="1" applyAlignment="1">
      <alignment horizontal="center" vertical="center" wrapText="1"/>
    </xf>
    <xf numFmtId="0" fontId="35" fillId="24" borderId="84" xfId="4" applyFont="1" applyFill="1" applyBorder="1" applyAlignment="1">
      <alignment horizontal="center" vertical="center" wrapText="1"/>
    </xf>
    <xf numFmtId="0" fontId="35" fillId="24" borderId="79" xfId="4" applyFont="1" applyFill="1" applyBorder="1" applyAlignment="1">
      <alignment horizontal="center" vertical="center" wrapText="1"/>
    </xf>
    <xf numFmtId="0" fontId="35" fillId="19" borderId="85" xfId="4" applyFont="1" applyFill="1" applyBorder="1" applyAlignment="1">
      <alignment horizontal="center" vertical="center" wrapText="1"/>
    </xf>
    <xf numFmtId="0" fontId="35" fillId="19" borderId="84" xfId="4" applyFont="1" applyFill="1" applyBorder="1" applyAlignment="1">
      <alignment horizontal="center" vertical="center" wrapText="1"/>
    </xf>
    <xf numFmtId="0" fontId="35" fillId="19" borderId="79" xfId="4" applyFont="1" applyFill="1" applyBorder="1" applyAlignment="1">
      <alignment horizontal="center" vertical="center" wrapText="1"/>
    </xf>
    <xf numFmtId="0" fontId="35" fillId="7" borderId="28" xfId="4" applyFont="1" applyFill="1" applyBorder="1" applyAlignment="1">
      <alignment horizontal="center" vertical="center" wrapText="1"/>
    </xf>
    <xf numFmtId="0" fontId="5" fillId="0" borderId="0" xfId="4" applyAlignment="1">
      <alignment vertical="center" wrapText="1"/>
    </xf>
    <xf numFmtId="0" fontId="5" fillId="9" borderId="4" xfId="4" applyFill="1" applyBorder="1" applyAlignment="1">
      <alignment horizontal="center" vertical="center" wrapText="1"/>
    </xf>
    <xf numFmtId="49" fontId="5" fillId="9" borderId="29" xfId="4" applyNumberFormat="1" applyFill="1" applyBorder="1" applyAlignment="1">
      <alignment horizontal="center" vertical="center" wrapText="1"/>
    </xf>
    <xf numFmtId="0" fontId="35" fillId="7" borderId="43" xfId="4" applyFont="1" applyFill="1" applyBorder="1" applyAlignment="1">
      <alignment horizontal="center" vertical="center" wrapText="1"/>
    </xf>
    <xf numFmtId="0" fontId="35" fillId="7" borderId="44" xfId="4" applyFont="1" applyFill="1" applyBorder="1" applyAlignment="1">
      <alignment horizontal="center" vertical="center" wrapText="1"/>
    </xf>
    <xf numFmtId="0" fontId="35" fillId="5" borderId="43" xfId="4" applyFont="1" applyFill="1" applyBorder="1" applyAlignment="1">
      <alignment horizontal="center" vertical="center" wrapText="1"/>
    </xf>
    <xf numFmtId="0" fontId="35" fillId="5" borderId="44" xfId="4" applyFont="1" applyFill="1" applyBorder="1" applyAlignment="1">
      <alignment horizontal="center" vertical="center" wrapText="1"/>
    </xf>
    <xf numFmtId="0" fontId="35" fillId="18" borderId="29" xfId="4" applyFont="1" applyFill="1" applyBorder="1" applyAlignment="1">
      <alignment horizontal="center" vertical="center" wrapText="1"/>
    </xf>
    <xf numFmtId="0" fontId="35" fillId="24" borderId="43" xfId="4" applyFont="1" applyFill="1" applyBorder="1" applyAlignment="1">
      <alignment horizontal="center" vertical="center" wrapText="1"/>
    </xf>
    <xf numFmtId="0" fontId="35" fillId="24" borderId="44" xfId="4" applyFont="1" applyFill="1" applyBorder="1" applyAlignment="1">
      <alignment horizontal="center" vertical="center" wrapText="1"/>
    </xf>
    <xf numFmtId="0" fontId="35" fillId="24" borderId="42" xfId="4" applyFont="1" applyFill="1" applyBorder="1" applyAlignment="1">
      <alignment horizontal="center" vertical="center" wrapText="1"/>
    </xf>
    <xf numFmtId="0" fontId="35" fillId="19" borderId="43" xfId="4" applyFont="1" applyFill="1" applyBorder="1" applyAlignment="1">
      <alignment horizontal="center" vertical="center" wrapText="1"/>
    </xf>
    <xf numFmtId="0" fontId="35" fillId="19" borderId="44" xfId="4" applyFont="1" applyFill="1" applyBorder="1" applyAlignment="1">
      <alignment horizontal="center" vertical="center" wrapText="1"/>
    </xf>
    <xf numFmtId="0" fontId="35" fillId="19" borderId="42" xfId="4" applyFont="1" applyFill="1" applyBorder="1" applyAlignment="1">
      <alignment horizontal="center" vertical="center" wrapText="1"/>
    </xf>
    <xf numFmtId="0" fontId="35" fillId="7" borderId="29" xfId="4" applyFont="1" applyFill="1" applyBorder="1" applyAlignment="1">
      <alignment horizontal="center" vertical="center" wrapText="1"/>
    </xf>
    <xf numFmtId="0" fontId="35" fillId="9" borderId="38" xfId="4" applyFont="1" applyFill="1" applyBorder="1" applyAlignment="1" applyProtection="1">
      <alignment vertical="center" wrapText="1"/>
      <protection locked="0"/>
    </xf>
    <xf numFmtId="49" fontId="5" fillId="9" borderId="30" xfId="4" applyNumberFormat="1" applyFill="1" applyBorder="1" applyAlignment="1">
      <alignment horizontal="center" vertical="center" wrapText="1"/>
    </xf>
    <xf numFmtId="0" fontId="35" fillId="7" borderId="47" xfId="4" applyFont="1" applyFill="1" applyBorder="1" applyAlignment="1">
      <alignment horizontal="center" vertical="center" wrapText="1"/>
    </xf>
    <xf numFmtId="0" fontId="35" fillId="7" borderId="48" xfId="4" applyFont="1" applyFill="1" applyBorder="1" applyAlignment="1">
      <alignment horizontal="center" vertical="center" wrapText="1"/>
    </xf>
    <xf numFmtId="0" fontId="35" fillId="5" borderId="47" xfId="4" applyFont="1" applyFill="1" applyBorder="1" applyAlignment="1">
      <alignment horizontal="center" vertical="center" wrapText="1"/>
    </xf>
    <xf numFmtId="0" fontId="35" fillId="5" borderId="49" xfId="4" applyFont="1" applyFill="1" applyBorder="1" applyAlignment="1">
      <alignment horizontal="center" vertical="center" wrapText="1"/>
    </xf>
    <xf numFmtId="0" fontId="35" fillId="5" borderId="48" xfId="4" applyFont="1" applyFill="1" applyBorder="1" applyAlignment="1">
      <alignment horizontal="center" vertical="center" wrapText="1"/>
    </xf>
    <xf numFmtId="0" fontId="35" fillId="18" borderId="30" xfId="4" applyFont="1" applyFill="1" applyBorder="1" applyAlignment="1">
      <alignment horizontal="center" vertical="center" wrapText="1"/>
    </xf>
    <xf numFmtId="0" fontId="35" fillId="24" borderId="47" xfId="4" applyFont="1" applyFill="1" applyBorder="1" applyAlignment="1">
      <alignment horizontal="center" vertical="center" wrapText="1"/>
    </xf>
    <xf numFmtId="0" fontId="35" fillId="24" borderId="49" xfId="4" applyFont="1" applyFill="1" applyBorder="1" applyAlignment="1">
      <alignment horizontal="center" vertical="center" wrapText="1"/>
    </xf>
    <xf numFmtId="0" fontId="35" fillId="24" borderId="46" xfId="4" applyFont="1" applyFill="1" applyBorder="1" applyAlignment="1">
      <alignment horizontal="center" vertical="center" wrapText="1"/>
    </xf>
    <xf numFmtId="0" fontId="35" fillId="19" borderId="47" xfId="4" applyFont="1" applyFill="1" applyBorder="1" applyAlignment="1">
      <alignment horizontal="center" vertical="center" wrapText="1"/>
    </xf>
    <xf numFmtId="0" fontId="35" fillId="19" borderId="49" xfId="4" applyFont="1" applyFill="1" applyBorder="1" applyAlignment="1">
      <alignment horizontal="center" vertical="center" wrapText="1"/>
    </xf>
    <xf numFmtId="0" fontId="35" fillId="19" borderId="46" xfId="4" applyFont="1" applyFill="1" applyBorder="1" applyAlignment="1">
      <alignment horizontal="center" vertical="center" wrapText="1"/>
    </xf>
    <xf numFmtId="0" fontId="35" fillId="7" borderId="30" xfId="4" applyFont="1" applyFill="1" applyBorder="1" applyAlignment="1">
      <alignment horizontal="center" vertical="center" wrapText="1"/>
    </xf>
    <xf numFmtId="49" fontId="5" fillId="0" borderId="0" xfId="4" applyNumberFormat="1" applyAlignment="1">
      <alignment horizontal="center"/>
    </xf>
    <xf numFmtId="0" fontId="6" fillId="0" borderId="4" xfId="4" applyFont="1" applyBorder="1"/>
    <xf numFmtId="0" fontId="6" fillId="0" borderId="3" xfId="4" applyFont="1" applyBorder="1"/>
    <xf numFmtId="0" fontId="5" fillId="0" borderId="4" xfId="4" applyBorder="1" applyAlignment="1">
      <alignment horizontal="center" vertical="center"/>
    </xf>
    <xf numFmtId="0" fontId="5" fillId="0" borderId="3" xfId="4" applyBorder="1" applyAlignment="1">
      <alignment horizontal="center" vertical="center"/>
    </xf>
    <xf numFmtId="0" fontId="5" fillId="0" borderId="5" xfId="4" applyBorder="1" applyAlignment="1">
      <alignment horizontal="center" vertical="center"/>
    </xf>
    <xf numFmtId="0" fontId="5" fillId="0" borderId="4" xfId="4" applyBorder="1"/>
    <xf numFmtId="0" fontId="5" fillId="0" borderId="3" xfId="4" applyBorder="1"/>
    <xf numFmtId="0" fontId="5" fillId="0" borderId="5" xfId="4" applyBorder="1"/>
    <xf numFmtId="0" fontId="5" fillId="0" borderId="13" xfId="4" applyBorder="1" applyAlignment="1">
      <alignment wrapText="1"/>
    </xf>
    <xf numFmtId="0" fontId="5" fillId="0" borderId="0" xfId="4" applyAlignment="1">
      <alignment wrapText="1"/>
    </xf>
    <xf numFmtId="0" fontId="5" fillId="0" borderId="16" xfId="4" applyBorder="1" applyAlignment="1">
      <alignment vertical="center" wrapText="1"/>
    </xf>
    <xf numFmtId="164" fontId="5" fillId="12" borderId="28" xfId="2" applyNumberFormat="1" applyFill="1" applyBorder="1" applyAlignment="1">
      <alignment horizontal="right" vertical="center"/>
    </xf>
    <xf numFmtId="164" fontId="5" fillId="9" borderId="7" xfId="2" applyNumberFormat="1" applyFill="1" applyBorder="1" applyAlignment="1">
      <alignment horizontal="right" vertical="center"/>
    </xf>
    <xf numFmtId="164" fontId="5" fillId="9" borderId="1" xfId="2" applyNumberFormat="1" applyFill="1" applyBorder="1" applyAlignment="1">
      <alignment horizontal="right" vertical="center"/>
    </xf>
    <xf numFmtId="164" fontId="5" fillId="9" borderId="16" xfId="2" applyNumberFormat="1" applyFill="1" applyBorder="1" applyAlignment="1">
      <alignment horizontal="right" vertical="center"/>
    </xf>
    <xf numFmtId="164" fontId="6" fillId="2" borderId="7" xfId="2" applyNumberFormat="1" applyFont="1" applyFill="1" applyBorder="1" applyAlignment="1">
      <alignment horizontal="right" vertical="center"/>
    </xf>
    <xf numFmtId="164" fontId="6" fillId="15" borderId="18" xfId="4" applyNumberFormat="1" applyFont="1" applyFill="1" applyBorder="1" applyAlignment="1">
      <alignment horizontal="right" vertical="center"/>
    </xf>
    <xf numFmtId="164" fontId="6" fillId="2" borderId="56" xfId="4" applyNumberFormat="1" applyFont="1" applyFill="1" applyBorder="1" applyAlignment="1">
      <alignment horizontal="right" vertical="center"/>
    </xf>
    <xf numFmtId="164" fontId="6" fillId="15" borderId="18" xfId="0" applyNumberFormat="1" applyFont="1" applyFill="1" applyBorder="1" applyAlignment="1">
      <alignment horizontal="right" vertical="center"/>
    </xf>
    <xf numFmtId="164" fontId="6" fillId="2" borderId="56" xfId="0" applyNumberFormat="1" applyFont="1" applyFill="1" applyBorder="1" applyAlignment="1">
      <alignment horizontal="right" vertical="center"/>
    </xf>
    <xf numFmtId="0" fontId="5" fillId="0" borderId="55" xfId="0" applyFont="1" applyBorder="1" applyAlignment="1">
      <alignment horizontal="left" vertical="center"/>
    </xf>
    <xf numFmtId="0" fontId="5" fillId="0" borderId="3" xfId="0" applyFont="1" applyBorder="1" applyAlignment="1">
      <alignment horizontal="left" vertical="center"/>
    </xf>
    <xf numFmtId="0" fontId="5" fillId="0" borderId="5" xfId="0" applyFont="1" applyBorder="1" applyAlignment="1">
      <alignment horizontal="left" vertical="center"/>
    </xf>
    <xf numFmtId="0" fontId="5" fillId="0" borderId="13" xfId="4" applyBorder="1"/>
    <xf numFmtId="168" fontId="5" fillId="2" borderId="18" xfId="2" applyNumberFormat="1" applyFont="1" applyFill="1" applyBorder="1" applyAlignment="1">
      <alignment horizontal="right"/>
    </xf>
    <xf numFmtId="7" fontId="65" fillId="4" borderId="3" xfId="2" applyNumberFormat="1" applyFont="1" applyFill="1" applyBorder="1"/>
    <xf numFmtId="0" fontId="5" fillId="9" borderId="3" xfId="4" applyFill="1" applyBorder="1" applyAlignment="1">
      <alignment horizontal="right"/>
    </xf>
    <xf numFmtId="0" fontId="5" fillId="2" borderId="90" xfId="4" applyFill="1" applyBorder="1" applyAlignment="1">
      <alignment horizontal="right"/>
    </xf>
    <xf numFmtId="165" fontId="5" fillId="2" borderId="27" xfId="4" applyNumberFormat="1" applyFill="1" applyBorder="1"/>
    <xf numFmtId="165" fontId="5" fillId="2" borderId="18" xfId="4" applyNumberFormat="1" applyFill="1" applyBorder="1"/>
    <xf numFmtId="0" fontId="5" fillId="2" borderId="55" xfId="4" applyFill="1" applyBorder="1" applyAlignment="1">
      <alignment horizontal="right"/>
    </xf>
    <xf numFmtId="0" fontId="6" fillId="3" borderId="88" xfId="4" applyFont="1" applyFill="1" applyBorder="1" applyAlignment="1">
      <alignment horizontal="right"/>
    </xf>
    <xf numFmtId="165" fontId="5" fillId="3" borderId="89" xfId="4" applyNumberFormat="1" applyFill="1" applyBorder="1"/>
    <xf numFmtId="0" fontId="6" fillId="25" borderId="50" xfId="4" applyFont="1" applyFill="1" applyBorder="1" applyAlignment="1">
      <alignment horizontal="right" vertical="center" wrapText="1"/>
    </xf>
    <xf numFmtId="165" fontId="6" fillId="25" borderId="35" xfId="1" applyNumberFormat="1" applyFont="1" applyFill="1" applyBorder="1" applyAlignment="1">
      <alignment vertical="center"/>
    </xf>
    <xf numFmtId="167" fontId="5" fillId="9" borderId="3" xfId="2" applyNumberFormat="1" applyFill="1" applyBorder="1" applyAlignment="1">
      <alignment horizontal="right"/>
    </xf>
    <xf numFmtId="0" fontId="57" fillId="9" borderId="11" xfId="0" applyFont="1" applyFill="1" applyBorder="1" applyAlignment="1">
      <alignment horizontal="left" vertical="top" wrapText="1"/>
    </xf>
    <xf numFmtId="0" fontId="57" fillId="9" borderId="6" xfId="0" applyFont="1" applyFill="1" applyBorder="1" applyAlignment="1">
      <alignment horizontal="left" vertical="top" wrapText="1"/>
    </xf>
    <xf numFmtId="0" fontId="57" fillId="9" borderId="12" xfId="0" applyFont="1" applyFill="1" applyBorder="1" applyAlignment="1">
      <alignment horizontal="left" vertical="top" wrapText="1"/>
    </xf>
    <xf numFmtId="0" fontId="57" fillId="9" borderId="13" xfId="0" applyFont="1" applyFill="1" applyBorder="1" applyAlignment="1">
      <alignment horizontal="left" vertical="top" wrapText="1"/>
    </xf>
    <xf numFmtId="0" fontId="57" fillId="9" borderId="0" xfId="0" applyFont="1" applyFill="1" applyAlignment="1">
      <alignment horizontal="left" vertical="top" wrapText="1"/>
    </xf>
    <xf numFmtId="0" fontId="57" fillId="9" borderId="14" xfId="0" applyFont="1" applyFill="1" applyBorder="1" applyAlignment="1">
      <alignment horizontal="left" vertical="top" wrapText="1"/>
    </xf>
    <xf numFmtId="0" fontId="57" fillId="9" borderId="10" xfId="0" applyFont="1" applyFill="1" applyBorder="1" applyAlignment="1">
      <alignment horizontal="left" vertical="top" wrapText="1"/>
    </xf>
    <xf numFmtId="0" fontId="57" fillId="9" borderId="2" xfId="0" applyFont="1" applyFill="1" applyBorder="1" applyAlignment="1">
      <alignment horizontal="left" vertical="top" wrapText="1"/>
    </xf>
    <xf numFmtId="0" fontId="57" fillId="9" borderId="8" xfId="0" applyFont="1" applyFill="1" applyBorder="1" applyAlignment="1">
      <alignment horizontal="left" vertical="top" wrapText="1"/>
    </xf>
    <xf numFmtId="0" fontId="7" fillId="0" borderId="0" xfId="4" applyFont="1" applyAlignment="1">
      <alignment horizontal="center" vertical="center"/>
    </xf>
    <xf numFmtId="0" fontId="6" fillId="9" borderId="0" xfId="4" applyFont="1" applyFill="1" applyAlignment="1">
      <alignment horizontal="left"/>
    </xf>
    <xf numFmtId="0" fontId="6" fillId="15" borderId="0" xfId="4" applyFont="1" applyFill="1" applyAlignment="1">
      <alignment horizontal="left" vertical="center" wrapText="1"/>
    </xf>
    <xf numFmtId="0" fontId="7" fillId="0" borderId="0" xfId="7" applyFont="1" applyAlignment="1">
      <alignment horizontal="center" vertical="center" wrapText="1"/>
    </xf>
    <xf numFmtId="0" fontId="37" fillId="0" borderId="1" xfId="7" applyFont="1" applyBorder="1" applyAlignment="1">
      <alignment horizontal="left" vertical="center" wrapText="1"/>
    </xf>
    <xf numFmtId="49" fontId="6" fillId="9" borderId="1" xfId="7" applyNumberFormat="1" applyFont="1" applyFill="1" applyBorder="1" applyAlignment="1">
      <alignment horizontal="center" vertical="center"/>
    </xf>
    <xf numFmtId="0" fontId="6" fillId="0" borderId="1" xfId="7" applyFont="1" applyBorder="1" applyAlignment="1">
      <alignment horizontal="left" vertical="center" wrapText="1"/>
    </xf>
    <xf numFmtId="0" fontId="7" fillId="0" borderId="0" xfId="4" applyFont="1" applyAlignment="1">
      <alignment horizontal="center" vertical="center" wrapText="1"/>
    </xf>
    <xf numFmtId="0" fontId="37" fillId="0" borderId="0" xfId="4" applyFont="1" applyAlignment="1">
      <alignment horizontal="left" wrapText="1"/>
    </xf>
    <xf numFmtId="4" fontId="16" fillId="13" borderId="4" xfId="4" applyNumberFormat="1" applyFont="1" applyFill="1" applyBorder="1" applyAlignment="1" applyProtection="1">
      <alignment horizontal="center" vertical="center"/>
      <protection locked="0"/>
    </xf>
    <xf numFmtId="4" fontId="16" fillId="13" borderId="3" xfId="4" applyNumberFormat="1" applyFont="1" applyFill="1" applyBorder="1" applyAlignment="1" applyProtection="1">
      <alignment horizontal="center" vertical="center"/>
      <protection locked="0"/>
    </xf>
    <xf numFmtId="4" fontId="16" fillId="13" borderId="5" xfId="4" applyNumberFormat="1" applyFont="1" applyFill="1" applyBorder="1" applyAlignment="1" applyProtection="1">
      <alignment horizontal="center" vertical="center"/>
      <protection locked="0"/>
    </xf>
    <xf numFmtId="0" fontId="62" fillId="9" borderId="1" xfId="4" applyFont="1" applyFill="1" applyBorder="1" applyAlignment="1" applyProtection="1">
      <alignment horizontal="left" vertical="center" wrapText="1"/>
      <protection locked="0"/>
    </xf>
    <xf numFmtId="0" fontId="16" fillId="13" borderId="4" xfId="4" applyFont="1" applyFill="1" applyBorder="1" applyAlignment="1" applyProtection="1">
      <alignment horizontal="right" vertical="center" wrapText="1"/>
      <protection locked="0"/>
    </xf>
    <xf numFmtId="0" fontId="16" fillId="13" borderId="3" xfId="4" applyFont="1" applyFill="1" applyBorder="1" applyAlignment="1" applyProtection="1">
      <alignment horizontal="right" vertical="center" wrapText="1"/>
      <protection locked="0"/>
    </xf>
    <xf numFmtId="0" fontId="16" fillId="13" borderId="5" xfId="4" applyFont="1" applyFill="1" applyBorder="1" applyAlignment="1" applyProtection="1">
      <alignment horizontal="right" vertical="center" wrapText="1"/>
      <protection locked="0"/>
    </xf>
    <xf numFmtId="0" fontId="46" fillId="3" borderId="4" xfId="4" applyFont="1" applyFill="1" applyBorder="1" applyAlignment="1" applyProtection="1">
      <alignment horizontal="right"/>
      <protection locked="0"/>
    </xf>
    <xf numFmtId="0" fontId="46" fillId="3" borderId="3" xfId="4" applyFont="1" applyFill="1" applyBorder="1" applyAlignment="1" applyProtection="1">
      <alignment horizontal="right"/>
      <protection locked="0"/>
    </xf>
    <xf numFmtId="0" fontId="46" fillId="3" borderId="5" xfId="4" applyFont="1" applyFill="1" applyBorder="1" applyAlignment="1" applyProtection="1">
      <alignment horizontal="right"/>
      <protection locked="0"/>
    </xf>
    <xf numFmtId="0" fontId="14" fillId="17" borderId="4" xfId="4" applyFont="1" applyFill="1" applyBorder="1" applyAlignment="1" applyProtection="1">
      <alignment horizontal="center" vertical="center" wrapText="1"/>
      <protection locked="0"/>
    </xf>
    <xf numFmtId="0" fontId="14" fillId="17" borderId="5" xfId="4" applyFont="1" applyFill="1" applyBorder="1" applyAlignment="1" applyProtection="1">
      <alignment horizontal="center" vertical="center" wrapText="1"/>
      <protection locked="0"/>
    </xf>
    <xf numFmtId="0" fontId="7" fillId="0" borderId="4" xfId="4" applyFont="1" applyBorder="1" applyAlignment="1" applyProtection="1">
      <alignment horizontal="center" vertical="center"/>
      <protection locked="0"/>
    </xf>
    <xf numFmtId="0" fontId="7" fillId="0" borderId="3" xfId="4" applyFont="1" applyBorder="1" applyAlignment="1" applyProtection="1">
      <alignment horizontal="center" vertical="center"/>
      <protection locked="0"/>
    </xf>
    <xf numFmtId="0" fontId="7" fillId="0" borderId="5" xfId="4" applyFont="1" applyBorder="1" applyAlignment="1" applyProtection="1">
      <alignment horizontal="center" vertical="center"/>
      <protection locked="0"/>
    </xf>
    <xf numFmtId="0" fontId="19" fillId="11" borderId="0" xfId="4" applyFont="1" applyFill="1" applyAlignment="1">
      <alignment horizontal="left" vertical="center" wrapText="1"/>
    </xf>
    <xf numFmtId="0" fontId="15" fillId="0" borderId="8" xfId="4" applyFont="1" applyBorder="1" applyAlignment="1" applyProtection="1">
      <alignment horizontal="center" vertical="center" wrapText="1"/>
      <protection locked="0"/>
    </xf>
    <xf numFmtId="0" fontId="15" fillId="0" borderId="7" xfId="4" applyFont="1" applyBorder="1" applyAlignment="1" applyProtection="1">
      <alignment horizontal="center" vertical="center"/>
      <protection locked="0"/>
    </xf>
    <xf numFmtId="0" fontId="15" fillId="0" borderId="10" xfId="4" applyFont="1" applyBorder="1" applyAlignment="1" applyProtection="1">
      <alignment horizontal="center" vertical="center"/>
      <protection locked="0"/>
    </xf>
    <xf numFmtId="0" fontId="27" fillId="9" borderId="1" xfId="4" applyFont="1" applyFill="1" applyBorder="1" applyAlignment="1">
      <alignment horizontal="center" vertical="center" wrapText="1"/>
    </xf>
    <xf numFmtId="0" fontId="39" fillId="0" borderId="11" xfId="4" applyFont="1" applyBorder="1" applyAlignment="1" applyProtection="1">
      <alignment horizontal="center" vertical="center" wrapText="1"/>
      <protection locked="0"/>
    </xf>
    <xf numFmtId="0" fontId="39" fillId="0" borderId="6" xfId="4" applyFont="1" applyBorder="1" applyAlignment="1" applyProtection="1">
      <alignment horizontal="center" vertical="center" wrapText="1"/>
      <protection locked="0"/>
    </xf>
    <xf numFmtId="0" fontId="39" fillId="0" borderId="12" xfId="4" applyFont="1" applyBorder="1" applyAlignment="1" applyProtection="1">
      <alignment horizontal="center" vertical="center" wrapText="1"/>
      <protection locked="0"/>
    </xf>
    <xf numFmtId="0" fontId="39" fillId="0" borderId="10" xfId="4" applyFont="1" applyBorder="1" applyAlignment="1" applyProtection="1">
      <alignment horizontal="center" vertical="center" wrapText="1"/>
      <protection locked="0"/>
    </xf>
    <xf numFmtId="0" fontId="39" fillId="0" borderId="2" xfId="4" applyFont="1" applyBorder="1" applyAlignment="1" applyProtection="1">
      <alignment horizontal="center" vertical="center" wrapText="1"/>
      <protection locked="0"/>
    </xf>
    <xf numFmtId="0" fontId="39" fillId="0" borderId="8" xfId="4" applyFont="1" applyBorder="1" applyAlignment="1" applyProtection="1">
      <alignment horizontal="center" vertical="center" wrapText="1"/>
      <protection locked="0"/>
    </xf>
    <xf numFmtId="4" fontId="7" fillId="13" borderId="1" xfId="4" applyNumberFormat="1" applyFont="1" applyFill="1" applyBorder="1" applyAlignment="1" applyProtection="1">
      <alignment horizontal="center" vertical="center"/>
      <protection locked="0"/>
    </xf>
    <xf numFmtId="0" fontId="36" fillId="0" borderId="4" xfId="4" applyFont="1" applyBorder="1" applyAlignment="1" applyProtection="1">
      <alignment horizontal="center" vertical="center" wrapText="1"/>
      <protection locked="0"/>
    </xf>
    <xf numFmtId="0" fontId="36" fillId="0" borderId="3" xfId="4" applyFont="1" applyBorder="1" applyAlignment="1" applyProtection="1">
      <alignment horizontal="center" vertical="center" wrapText="1"/>
      <protection locked="0"/>
    </xf>
    <xf numFmtId="0" fontId="36" fillId="18" borderId="4" xfId="4" applyFont="1" applyFill="1" applyBorder="1" applyAlignment="1" applyProtection="1">
      <alignment horizontal="center" vertical="center" wrapText="1"/>
      <protection locked="0"/>
    </xf>
    <xf numFmtId="0" fontId="36" fillId="18" borderId="5" xfId="4" applyFont="1" applyFill="1" applyBorder="1" applyAlignment="1" applyProtection="1">
      <alignment horizontal="center" vertical="center" wrapText="1"/>
      <protection locked="0"/>
    </xf>
    <xf numFmtId="0" fontId="61" fillId="21" borderId="1" xfId="4" applyFont="1" applyFill="1" applyBorder="1" applyAlignment="1" applyProtection="1">
      <alignment horizontal="center" vertical="center"/>
      <protection locked="0"/>
    </xf>
    <xf numFmtId="0" fontId="27" fillId="9" borderId="1" xfId="4" applyFont="1" applyFill="1" applyBorder="1" applyAlignment="1" applyProtection="1">
      <alignment horizontal="center" vertical="center"/>
      <protection locked="0"/>
    </xf>
    <xf numFmtId="0" fontId="39" fillId="0" borderId="7" xfId="4" applyFont="1" applyBorder="1" applyAlignment="1" applyProtection="1">
      <alignment horizontal="center" vertical="center" wrapText="1"/>
      <protection locked="0"/>
    </xf>
    <xf numFmtId="0" fontId="39" fillId="0" borderId="1" xfId="4" applyFont="1" applyBorder="1" applyAlignment="1" applyProtection="1">
      <alignment horizontal="center" vertical="center" wrapText="1"/>
      <protection locked="0"/>
    </xf>
    <xf numFmtId="4" fontId="7" fillId="13" borderId="10" xfId="4" applyNumberFormat="1" applyFont="1" applyFill="1" applyBorder="1" applyAlignment="1" applyProtection="1">
      <alignment horizontal="center" vertical="center"/>
      <protection locked="0"/>
    </xf>
    <xf numFmtId="4" fontId="7" fillId="13" borderId="2" xfId="4" applyNumberFormat="1" applyFont="1" applyFill="1" applyBorder="1" applyAlignment="1" applyProtection="1">
      <alignment horizontal="center" vertical="center"/>
      <protection locked="0"/>
    </xf>
    <xf numFmtId="4" fontId="7" fillId="13" borderId="8" xfId="4" applyNumberFormat="1" applyFont="1" applyFill="1" applyBorder="1" applyAlignment="1" applyProtection="1">
      <alignment horizontal="center" vertical="center"/>
      <protection locked="0"/>
    </xf>
    <xf numFmtId="0" fontId="5" fillId="0" borderId="0" xfId="4" applyAlignment="1">
      <alignment horizontal="left" wrapText="1"/>
    </xf>
    <xf numFmtId="0" fontId="9" fillId="0" borderId="0" xfId="4" applyFont="1" applyAlignment="1">
      <alignment horizontal="center"/>
    </xf>
    <xf numFmtId="0" fontId="53" fillId="21" borderId="1" xfId="4" applyFont="1" applyFill="1" applyBorder="1" applyAlignment="1">
      <alignment horizontal="center"/>
    </xf>
    <xf numFmtId="0" fontId="5" fillId="9" borderId="23" xfId="4" applyFill="1" applyBorder="1" applyAlignment="1">
      <alignment horizontal="center" wrapText="1"/>
    </xf>
    <xf numFmtId="0" fontId="5" fillId="9" borderId="24" xfId="4" applyFill="1" applyBorder="1" applyAlignment="1">
      <alignment horizontal="center" wrapText="1"/>
    </xf>
    <xf numFmtId="0" fontId="5" fillId="9" borderId="25" xfId="4" applyFill="1" applyBorder="1" applyAlignment="1">
      <alignment horizontal="center" wrapText="1"/>
    </xf>
    <xf numFmtId="0" fontId="5" fillId="9" borderId="55" xfId="4" applyFill="1" applyBorder="1" applyAlignment="1">
      <alignment horizontal="center" wrapText="1"/>
    </xf>
    <xf numFmtId="0" fontId="5" fillId="9" borderId="3" xfId="4" applyFill="1" applyBorder="1" applyAlignment="1">
      <alignment horizontal="center" wrapText="1"/>
    </xf>
    <xf numFmtId="0" fontId="5" fillId="9" borderId="42" xfId="4" applyFill="1" applyBorder="1" applyAlignment="1">
      <alignment horizontal="center" wrapText="1"/>
    </xf>
    <xf numFmtId="0" fontId="5" fillId="9" borderId="38" xfId="4" applyFill="1" applyBorder="1" applyAlignment="1">
      <alignment horizontal="center" wrapText="1"/>
    </xf>
    <xf numFmtId="0" fontId="5" fillId="9" borderId="39" xfId="4" applyFill="1" applyBorder="1" applyAlignment="1">
      <alignment horizontal="center" wrapText="1"/>
    </xf>
    <xf numFmtId="0" fontId="5" fillId="9" borderId="46" xfId="4" applyFill="1" applyBorder="1" applyAlignment="1">
      <alignment horizontal="center" wrapText="1"/>
    </xf>
    <xf numFmtId="0" fontId="6" fillId="2" borderId="74" xfId="4" applyFont="1" applyFill="1" applyBorder="1" applyAlignment="1">
      <alignment horizontal="center" vertical="center" wrapText="1"/>
    </xf>
    <xf numFmtId="0" fontId="6" fillId="2" borderId="50" xfId="4" applyFont="1" applyFill="1" applyBorder="1" applyAlignment="1">
      <alignment horizontal="center" vertical="center" wrapText="1"/>
    </xf>
    <xf numFmtId="0" fontId="6" fillId="2" borderId="81" xfId="4" applyFont="1" applyFill="1" applyBorder="1" applyAlignment="1">
      <alignment horizontal="center" vertical="center" wrapText="1"/>
    </xf>
    <xf numFmtId="0" fontId="6" fillId="2" borderId="82" xfId="4" applyFont="1" applyFill="1" applyBorder="1" applyAlignment="1">
      <alignment horizontal="center" vertical="center" wrapText="1"/>
    </xf>
    <xf numFmtId="0" fontId="6" fillId="2" borderId="70" xfId="4" applyFont="1" applyFill="1" applyBorder="1" applyAlignment="1">
      <alignment horizontal="center" vertical="center" wrapText="1"/>
    </xf>
    <xf numFmtId="0" fontId="6" fillId="2" borderId="83" xfId="4" applyFont="1" applyFill="1" applyBorder="1" applyAlignment="1">
      <alignment horizontal="center" vertical="center" wrapText="1"/>
    </xf>
    <xf numFmtId="0" fontId="37" fillId="0" borderId="81" xfId="4" applyFont="1" applyBorder="1" applyAlignment="1">
      <alignment horizontal="left"/>
    </xf>
    <xf numFmtId="0" fontId="6" fillId="0" borderId="70" xfId="4" applyFont="1" applyBorder="1" applyAlignment="1">
      <alignment horizontal="left" vertical="center" wrapText="1"/>
    </xf>
    <xf numFmtId="0" fontId="5" fillId="9" borderId="41" xfId="4" applyFill="1" applyBorder="1" applyAlignment="1">
      <alignment horizontal="center" wrapText="1"/>
    </xf>
    <xf numFmtId="0" fontId="5" fillId="9" borderId="29" xfId="4" applyFill="1" applyBorder="1" applyAlignment="1">
      <alignment horizontal="center" wrapText="1"/>
    </xf>
    <xf numFmtId="0" fontId="5" fillId="9" borderId="30" xfId="4" applyFill="1" applyBorder="1" applyAlignment="1">
      <alignment horizontal="center" wrapText="1"/>
    </xf>
    <xf numFmtId="0" fontId="6" fillId="0" borderId="0" xfId="4" applyFont="1" applyAlignment="1">
      <alignment horizontal="left" wrapText="1"/>
    </xf>
    <xf numFmtId="0" fontId="6" fillId="2" borderId="21" xfId="4" applyFont="1" applyFill="1" applyBorder="1" applyAlignment="1">
      <alignment horizontal="center" vertical="center" wrapText="1"/>
    </xf>
    <xf numFmtId="0" fontId="6" fillId="2" borderId="22" xfId="4" applyFont="1" applyFill="1" applyBorder="1" applyAlignment="1">
      <alignment horizontal="center" vertical="center" wrapText="1"/>
    </xf>
    <xf numFmtId="0" fontId="6" fillId="2" borderId="24" xfId="4" applyFont="1" applyFill="1" applyBorder="1" applyAlignment="1">
      <alignment horizontal="center" vertical="center" wrapText="1"/>
    </xf>
    <xf numFmtId="0" fontId="34" fillId="23" borderId="23" xfId="4" applyFont="1" applyFill="1" applyBorder="1" applyAlignment="1">
      <alignment horizontal="center" vertical="center" wrapText="1"/>
    </xf>
    <xf numFmtId="0" fontId="34" fillId="23" borderId="24" xfId="4" applyFont="1" applyFill="1" applyBorder="1" applyAlignment="1">
      <alignment horizontal="center" vertical="center" wrapText="1"/>
    </xf>
    <xf numFmtId="0" fontId="34" fillId="23" borderId="25" xfId="4" applyFont="1" applyFill="1" applyBorder="1" applyAlignment="1">
      <alignment horizontal="center" vertical="center" wrapText="1"/>
    </xf>
    <xf numFmtId="0" fontId="37" fillId="0" borderId="70" xfId="4" applyFont="1" applyBorder="1" applyAlignment="1">
      <alignment horizontal="left" vertical="center"/>
    </xf>
    <xf numFmtId="0" fontId="34" fillId="2" borderId="41" xfId="4" applyFont="1" applyFill="1" applyBorder="1" applyAlignment="1">
      <alignment horizontal="center" wrapText="1"/>
    </xf>
    <xf numFmtId="0" fontId="34" fillId="2" borderId="30" xfId="4" applyFont="1" applyFill="1" applyBorder="1" applyAlignment="1">
      <alignment horizontal="center" wrapText="1"/>
    </xf>
    <xf numFmtId="0" fontId="34" fillId="2" borderId="23" xfId="4" applyFont="1" applyFill="1" applyBorder="1" applyAlignment="1">
      <alignment horizontal="center" vertical="center" wrapText="1"/>
    </xf>
    <xf numFmtId="0" fontId="34" fillId="2" borderId="24" xfId="4" applyFont="1" applyFill="1" applyBorder="1" applyAlignment="1">
      <alignment horizontal="center" vertical="center" wrapText="1"/>
    </xf>
    <xf numFmtId="0" fontId="34" fillId="2" borderId="25" xfId="4" applyFont="1" applyFill="1" applyBorder="1" applyAlignment="1">
      <alignment horizontal="center" vertical="center" wrapText="1"/>
    </xf>
    <xf numFmtId="0" fontId="6" fillId="2" borderId="21" xfId="4" applyFont="1" applyFill="1" applyBorder="1" applyAlignment="1">
      <alignment horizontal="center" wrapText="1"/>
    </xf>
    <xf numFmtId="0" fontId="6" fillId="2" borderId="22" xfId="4" applyFont="1" applyFill="1" applyBorder="1" applyAlignment="1">
      <alignment horizontal="center"/>
    </xf>
    <xf numFmtId="0" fontId="6" fillId="2" borderId="21" xfId="4" applyFont="1" applyFill="1" applyBorder="1" applyAlignment="1">
      <alignment horizontal="center"/>
    </xf>
    <xf numFmtId="0" fontId="6" fillId="2" borderId="22" xfId="4" applyFont="1" applyFill="1" applyBorder="1" applyAlignment="1">
      <alignment horizontal="center" wrapText="1"/>
    </xf>
    <xf numFmtId="0" fontId="34" fillId="11" borderId="41" xfId="4" applyFont="1" applyFill="1" applyBorder="1" applyAlignment="1">
      <alignment horizontal="center" wrapText="1"/>
    </xf>
    <xf numFmtId="0" fontId="34" fillId="11" borderId="30" xfId="4" applyFont="1" applyFill="1" applyBorder="1" applyAlignment="1">
      <alignment horizontal="center" wrapText="1"/>
    </xf>
    <xf numFmtId="0" fontId="34" fillId="11" borderId="23" xfId="4" applyFont="1" applyFill="1" applyBorder="1" applyAlignment="1">
      <alignment horizontal="center" vertical="center" wrapText="1"/>
    </xf>
    <xf numFmtId="0" fontId="34" fillId="11" borderId="24" xfId="4" applyFont="1" applyFill="1" applyBorder="1" applyAlignment="1">
      <alignment horizontal="center" vertical="center" wrapText="1"/>
    </xf>
    <xf numFmtId="0" fontId="34" fillId="8" borderId="23" xfId="4" applyFont="1" applyFill="1" applyBorder="1" applyAlignment="1">
      <alignment horizontal="center" vertical="center" wrapText="1"/>
    </xf>
    <xf numFmtId="0" fontId="34" fillId="8" borderId="24" xfId="4" applyFont="1" applyFill="1" applyBorder="1" applyAlignment="1">
      <alignment horizontal="center" vertical="center" wrapText="1"/>
    </xf>
    <xf numFmtId="0" fontId="34" fillId="22" borderId="41" xfId="4" applyFont="1" applyFill="1" applyBorder="1" applyAlignment="1">
      <alignment horizontal="center" wrapText="1"/>
    </xf>
    <xf numFmtId="0" fontId="34" fillId="22" borderId="30" xfId="4" applyFont="1" applyFill="1" applyBorder="1" applyAlignment="1">
      <alignment horizontal="center" wrapText="1"/>
    </xf>
    <xf numFmtId="0" fontId="34" fillId="21" borderId="41" xfId="4" applyFont="1" applyFill="1" applyBorder="1" applyAlignment="1">
      <alignment horizontal="center" wrapText="1"/>
    </xf>
    <xf numFmtId="0" fontId="34" fillId="21" borderId="30" xfId="4" applyFont="1" applyFill="1" applyBorder="1" applyAlignment="1">
      <alignment horizontal="center" wrapText="1"/>
    </xf>
    <xf numFmtId="0" fontId="34" fillId="15" borderId="23" xfId="4" applyFont="1" applyFill="1" applyBorder="1" applyAlignment="1">
      <alignment horizontal="center" vertical="center" wrapText="1"/>
    </xf>
    <xf numFmtId="0" fontId="34" fillId="15" borderId="24" xfId="4" applyFont="1" applyFill="1" applyBorder="1" applyAlignment="1">
      <alignment horizontal="center" vertical="center" wrapText="1"/>
    </xf>
    <xf numFmtId="0" fontId="34" fillId="15" borderId="25" xfId="4"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37" fillId="0" borderId="0" xfId="0" applyFont="1" applyAlignment="1">
      <alignment horizontal="left"/>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0" fillId="9" borderId="11" xfId="0" applyFill="1" applyBorder="1" applyAlignment="1">
      <alignment horizontal="center" vertical="center" wrapText="1"/>
    </xf>
    <xf numFmtId="0" fontId="0" fillId="9" borderId="12" xfId="0" applyFill="1" applyBorder="1" applyAlignment="1">
      <alignment horizontal="center" vertical="center" wrapText="1"/>
    </xf>
    <xf numFmtId="0" fontId="0" fillId="9" borderId="13" xfId="0" applyFill="1" applyBorder="1" applyAlignment="1">
      <alignment horizontal="center" vertical="center" wrapText="1"/>
    </xf>
    <xf numFmtId="0" fontId="0" fillId="9" borderId="14" xfId="0" applyFill="1" applyBorder="1" applyAlignment="1">
      <alignment horizontal="center" vertical="center" wrapText="1"/>
    </xf>
    <xf numFmtId="0" fontId="0" fillId="9" borderId="10" xfId="0" applyFill="1" applyBorder="1" applyAlignment="1">
      <alignment horizontal="center" vertical="center" wrapText="1"/>
    </xf>
    <xf numFmtId="0" fontId="0" fillId="9" borderId="8" xfId="0" applyFill="1" applyBorder="1" applyAlignment="1">
      <alignment horizontal="center" vertical="center" wrapText="1"/>
    </xf>
    <xf numFmtId="0" fontId="7" fillId="0" borderId="2" xfId="4" applyFont="1" applyBorder="1" applyAlignment="1">
      <alignment horizontal="center" vertical="center" wrapText="1"/>
    </xf>
    <xf numFmtId="0" fontId="6" fillId="2" borderId="4" xfId="4" applyFont="1" applyFill="1" applyBorder="1" applyAlignment="1">
      <alignment horizontal="center" vertical="center" wrapText="1"/>
    </xf>
    <xf numFmtId="0" fontId="6" fillId="2" borderId="3" xfId="4" applyFont="1" applyFill="1" applyBorder="1" applyAlignment="1">
      <alignment horizontal="center" vertical="center" wrapText="1"/>
    </xf>
    <xf numFmtId="0" fontId="6" fillId="2" borderId="5" xfId="4" applyFont="1" applyFill="1" applyBorder="1" applyAlignment="1">
      <alignment horizontal="center" vertical="center" wrapText="1"/>
    </xf>
    <xf numFmtId="0" fontId="52" fillId="8" borderId="4" xfId="4" applyFont="1" applyFill="1" applyBorder="1" applyAlignment="1">
      <alignment horizontal="center" vertical="center" wrapText="1"/>
    </xf>
    <xf numFmtId="0" fontId="52" fillId="8" borderId="3" xfId="4" applyFont="1" applyFill="1" applyBorder="1" applyAlignment="1">
      <alignment horizontal="center" vertical="center" wrapText="1"/>
    </xf>
    <xf numFmtId="0" fontId="52" fillId="8" borderId="5" xfId="4" applyFont="1" applyFill="1" applyBorder="1" applyAlignment="1">
      <alignment horizontal="center" vertical="center" wrapText="1"/>
    </xf>
    <xf numFmtId="0" fontId="33" fillId="5" borderId="31" xfId="12" applyFont="1" applyFill="1" applyBorder="1" applyAlignment="1">
      <alignment horizontal="right" vertical="center" wrapText="1"/>
    </xf>
    <xf numFmtId="0" fontId="33" fillId="5" borderId="15" xfId="12" applyFont="1" applyFill="1" applyBorder="1" applyAlignment="1">
      <alignment horizontal="right" vertical="center" wrapText="1"/>
    </xf>
    <xf numFmtId="0" fontId="33" fillId="5" borderId="32" xfId="12" applyFont="1" applyFill="1" applyBorder="1" applyAlignment="1">
      <alignment horizontal="right" vertical="center" wrapText="1"/>
    </xf>
    <xf numFmtId="0" fontId="52" fillId="12" borderId="4" xfId="4" applyFont="1" applyFill="1" applyBorder="1" applyAlignment="1">
      <alignment horizontal="center" vertical="center" wrapText="1"/>
    </xf>
    <xf numFmtId="0" fontId="52" fillId="12" borderId="3" xfId="4" applyFont="1" applyFill="1" applyBorder="1" applyAlignment="1">
      <alignment horizontal="center" vertical="center" wrapText="1"/>
    </xf>
    <xf numFmtId="0" fontId="52" fillId="12" borderId="5" xfId="4" applyFont="1" applyFill="1" applyBorder="1" applyAlignment="1">
      <alignment horizontal="center" vertical="center" wrapText="1"/>
    </xf>
    <xf numFmtId="44" fontId="35" fillId="9" borderId="31" xfId="13" applyFont="1" applyFill="1" applyBorder="1" applyAlignment="1" applyProtection="1">
      <alignment horizontal="right" vertical="center" wrapText="1"/>
      <protection locked="0"/>
    </xf>
    <xf numFmtId="44" fontId="35" fillId="9" borderId="15" xfId="13" applyFont="1" applyFill="1" applyBorder="1" applyAlignment="1" applyProtection="1">
      <alignment horizontal="right" vertical="center" wrapText="1"/>
      <protection locked="0"/>
    </xf>
    <xf numFmtId="44" fontId="35" fillId="9" borderId="32" xfId="13" applyFont="1" applyFill="1" applyBorder="1" applyAlignment="1" applyProtection="1">
      <alignment horizontal="right" vertical="center" wrapText="1"/>
      <protection locked="0"/>
    </xf>
    <xf numFmtId="0" fontId="34" fillId="11" borderId="59" xfId="12" applyFont="1" applyFill="1" applyBorder="1" applyAlignment="1">
      <alignment horizontal="right" vertical="center"/>
    </xf>
    <xf numFmtId="0" fontId="34" fillId="11" borderId="60" xfId="12" applyFont="1" applyFill="1" applyBorder="1" applyAlignment="1">
      <alignment horizontal="right" vertical="center"/>
    </xf>
    <xf numFmtId="0" fontId="34" fillId="12" borderId="59" xfId="12" applyFont="1" applyFill="1" applyBorder="1" applyAlignment="1">
      <alignment horizontal="right" vertical="center"/>
    </xf>
    <xf numFmtId="0" fontId="34" fillId="12" borderId="60" xfId="12" applyFont="1" applyFill="1" applyBorder="1" applyAlignment="1">
      <alignment horizontal="right" vertical="center"/>
    </xf>
    <xf numFmtId="0" fontId="34" fillId="8" borderId="66" xfId="12" applyFont="1" applyFill="1" applyBorder="1" applyAlignment="1">
      <alignment horizontal="right" vertical="center"/>
    </xf>
    <xf numFmtId="0" fontId="34" fillId="8" borderId="86" xfId="12" applyFont="1" applyFill="1" applyBorder="1" applyAlignment="1">
      <alignment horizontal="right" vertical="center"/>
    </xf>
    <xf numFmtId="0" fontId="36" fillId="3" borderId="11" xfId="4" applyFont="1" applyFill="1" applyBorder="1" applyAlignment="1">
      <alignment horizontal="center" vertical="center" wrapText="1"/>
    </xf>
    <xf numFmtId="0" fontId="36" fillId="3" borderId="6" xfId="4" applyFont="1" applyFill="1" applyBorder="1" applyAlignment="1">
      <alignment horizontal="center" vertical="center" wrapText="1"/>
    </xf>
    <xf numFmtId="0" fontId="36" fillId="3" borderId="12" xfId="4" applyFont="1" applyFill="1" applyBorder="1" applyAlignment="1">
      <alignment horizontal="center" vertical="center" wrapText="1"/>
    </xf>
    <xf numFmtId="0" fontId="36" fillId="3" borderId="13" xfId="4" applyFont="1" applyFill="1" applyBorder="1" applyAlignment="1">
      <alignment horizontal="center" vertical="center" wrapText="1"/>
    </xf>
    <xf numFmtId="0" fontId="36" fillId="3" borderId="0" xfId="4" applyFont="1" applyFill="1" applyAlignment="1">
      <alignment horizontal="center" vertical="center" wrapText="1"/>
    </xf>
    <xf numFmtId="0" fontId="36" fillId="3" borderId="14" xfId="4" applyFont="1" applyFill="1" applyBorder="1" applyAlignment="1">
      <alignment horizontal="center" vertical="center" wrapText="1"/>
    </xf>
    <xf numFmtId="0" fontId="6" fillId="11" borderId="9" xfId="4" applyFont="1" applyFill="1" applyBorder="1" applyAlignment="1">
      <alignment horizontal="center" vertical="center" wrapText="1"/>
    </xf>
    <xf numFmtId="0" fontId="6" fillId="11" borderId="72" xfId="4" applyFont="1" applyFill="1" applyBorder="1" applyAlignment="1">
      <alignment horizontal="center" vertical="center" wrapText="1"/>
    </xf>
    <xf numFmtId="0" fontId="6" fillId="11" borderId="12" xfId="4" applyFont="1" applyFill="1" applyBorder="1" applyAlignment="1">
      <alignment horizontal="center" vertical="center" wrapText="1"/>
    </xf>
    <xf numFmtId="0" fontId="6" fillId="11" borderId="69" xfId="4" applyFont="1" applyFill="1" applyBorder="1" applyAlignment="1">
      <alignment horizontal="center" vertical="center" wrapText="1"/>
    </xf>
    <xf numFmtId="0" fontId="52" fillId="11" borderId="4" xfId="4" applyFont="1" applyFill="1" applyBorder="1" applyAlignment="1">
      <alignment horizontal="center" vertical="center" wrapText="1"/>
    </xf>
    <xf numFmtId="0" fontId="52" fillId="11" borderId="3" xfId="4" applyFont="1" applyFill="1" applyBorder="1" applyAlignment="1">
      <alignment horizontal="center" vertical="center" wrapText="1"/>
    </xf>
    <xf numFmtId="0" fontId="52" fillId="11" borderId="5" xfId="4" applyFont="1" applyFill="1" applyBorder="1" applyAlignment="1">
      <alignment horizontal="center" vertical="center" wrapText="1"/>
    </xf>
    <xf numFmtId="0" fontId="39" fillId="0" borderId="0" xfId="4" applyFont="1" applyAlignment="1">
      <alignment horizontal="center" vertical="center" wrapText="1"/>
    </xf>
    <xf numFmtId="0" fontId="6" fillId="0" borderId="2" xfId="4" applyFont="1" applyBorder="1" applyAlignment="1">
      <alignment horizontal="left" vertical="center"/>
    </xf>
    <xf numFmtId="0" fontId="55" fillId="0" borderId="6" xfId="4" applyFont="1" applyBorder="1" applyAlignment="1">
      <alignment horizontal="center" vertical="center"/>
    </xf>
    <xf numFmtId="0" fontId="55" fillId="0" borderId="12" xfId="4" applyFont="1" applyBorder="1" applyAlignment="1">
      <alignment horizontal="center" vertical="center"/>
    </xf>
    <xf numFmtId="0" fontId="55" fillId="0" borderId="0" xfId="4" applyFont="1" applyAlignment="1">
      <alignment horizontal="center" vertical="center"/>
    </xf>
    <xf numFmtId="0" fontId="55" fillId="0" borderId="14" xfId="4" applyFont="1" applyBorder="1" applyAlignment="1">
      <alignment horizontal="center" vertical="center"/>
    </xf>
    <xf numFmtId="0" fontId="55" fillId="0" borderId="2" xfId="4" applyFont="1" applyBorder="1" applyAlignment="1">
      <alignment horizontal="center" vertical="center"/>
    </xf>
    <xf numFmtId="0" fontId="55" fillId="0" borderId="8" xfId="4" applyFont="1" applyBorder="1" applyAlignment="1">
      <alignment horizontal="center" vertical="center"/>
    </xf>
    <xf numFmtId="0" fontId="6" fillId="0" borderId="0" xfId="4" applyFont="1" applyAlignment="1">
      <alignment horizontal="left" vertical="center" wrapText="1"/>
    </xf>
    <xf numFmtId="0" fontId="6" fillId="8" borderId="4" xfId="4" applyFont="1" applyFill="1" applyBorder="1" applyAlignment="1">
      <alignment horizontal="center" vertical="center" wrapText="1"/>
    </xf>
    <xf numFmtId="0" fontId="6" fillId="8" borderId="5" xfId="4" applyFont="1" applyFill="1" applyBorder="1" applyAlignment="1">
      <alignment horizontal="center" vertical="center" wrapText="1"/>
    </xf>
    <xf numFmtId="0" fontId="6" fillId="5" borderId="1" xfId="4" applyFont="1" applyFill="1" applyBorder="1" applyAlignment="1">
      <alignment horizontal="center" vertical="center" wrapText="1"/>
    </xf>
    <xf numFmtId="0" fontId="6" fillId="5" borderId="1" xfId="4" applyFont="1" applyFill="1" applyBorder="1" applyAlignment="1">
      <alignment horizontal="center" vertical="center"/>
    </xf>
    <xf numFmtId="0" fontId="5" fillId="5" borderId="4" xfId="4" applyFill="1" applyBorder="1" applyAlignment="1">
      <alignment horizontal="center"/>
    </xf>
    <xf numFmtId="0" fontId="5" fillId="5" borderId="5" xfId="4" applyFill="1" applyBorder="1" applyAlignment="1">
      <alignment horizontal="center"/>
    </xf>
    <xf numFmtId="0" fontId="5" fillId="4" borderId="1" xfId="4" applyFill="1" applyBorder="1" applyAlignment="1">
      <alignment horizontal="center"/>
    </xf>
    <xf numFmtId="0" fontId="6" fillId="12" borderId="3" xfId="4" applyFont="1" applyFill="1" applyBorder="1" applyAlignment="1">
      <alignment horizontal="center" vertical="center" wrapText="1"/>
    </xf>
    <xf numFmtId="0" fontId="6" fillId="12" borderId="3" xfId="4" applyFont="1" applyFill="1" applyBorder="1" applyAlignment="1">
      <alignment horizontal="center" vertical="center"/>
    </xf>
    <xf numFmtId="0" fontId="6" fillId="7" borderId="4" xfId="4" applyFont="1" applyFill="1" applyBorder="1" applyAlignment="1">
      <alignment horizontal="left"/>
    </xf>
    <xf numFmtId="0" fontId="6" fillId="7" borderId="3" xfId="4" applyFont="1" applyFill="1" applyBorder="1" applyAlignment="1">
      <alignment horizontal="left"/>
    </xf>
    <xf numFmtId="0" fontId="6" fillId="14" borderId="6" xfId="4" applyFont="1" applyFill="1" applyBorder="1" applyAlignment="1">
      <alignment horizontal="center" vertical="center" wrapText="1"/>
    </xf>
    <xf numFmtId="0" fontId="6" fillId="14" borderId="12" xfId="4" applyFont="1" applyFill="1" applyBorder="1" applyAlignment="1">
      <alignment horizontal="center" vertical="center" wrapText="1"/>
    </xf>
    <xf numFmtId="0" fontId="6" fillId="14" borderId="0" xfId="4" applyFont="1" applyFill="1" applyAlignment="1">
      <alignment horizontal="center" vertical="center" wrapText="1"/>
    </xf>
    <xf numFmtId="0" fontId="6" fillId="14" borderId="14" xfId="4" applyFont="1" applyFill="1" applyBorder="1" applyAlignment="1">
      <alignment horizontal="center" vertical="center" wrapText="1"/>
    </xf>
    <xf numFmtId="0" fontId="6" fillId="14" borderId="2" xfId="4" applyFont="1" applyFill="1" applyBorder="1" applyAlignment="1">
      <alignment horizontal="center" vertical="center" wrapText="1"/>
    </xf>
    <xf numFmtId="0" fontId="6" fillId="14" borderId="8" xfId="4" applyFont="1" applyFill="1" applyBorder="1" applyAlignment="1">
      <alignment horizontal="center" vertical="center" wrapText="1"/>
    </xf>
    <xf numFmtId="0" fontId="6" fillId="16" borderId="23" xfId="4" applyFont="1" applyFill="1" applyBorder="1" applyAlignment="1">
      <alignment horizontal="center" vertical="center"/>
    </xf>
    <xf numFmtId="0" fontId="6" fillId="16" borderId="25" xfId="4" applyFont="1" applyFill="1" applyBorder="1" applyAlignment="1">
      <alignment horizontal="center" vertical="center"/>
    </xf>
    <xf numFmtId="0" fontId="5" fillId="0" borderId="4" xfId="4" applyBorder="1" applyAlignment="1">
      <alignment horizontal="left"/>
    </xf>
    <xf numFmtId="0" fontId="5" fillId="0" borderId="3" xfId="4" applyBorder="1" applyAlignment="1">
      <alignment horizontal="left"/>
    </xf>
    <xf numFmtId="0" fontId="6" fillId="3" borderId="87" xfId="4" applyFont="1" applyFill="1" applyBorder="1" applyAlignment="1">
      <alignment horizontal="right" vertical="center" wrapText="1"/>
    </xf>
    <xf numFmtId="0" fontId="6" fillId="3" borderId="88" xfId="4" applyFont="1" applyFill="1" applyBorder="1" applyAlignment="1">
      <alignment horizontal="right" vertical="center" wrapText="1"/>
    </xf>
    <xf numFmtId="165" fontId="6" fillId="3" borderId="57" xfId="1" applyNumberFormat="1" applyFont="1" applyFill="1" applyBorder="1" applyAlignment="1">
      <alignment horizontal="right" vertical="center"/>
    </xf>
    <xf numFmtId="165" fontId="6" fillId="3" borderId="89" xfId="1" applyNumberFormat="1" applyFont="1" applyFill="1" applyBorder="1" applyAlignment="1">
      <alignment horizontal="right" vertical="center"/>
    </xf>
    <xf numFmtId="0" fontId="5" fillId="0" borderId="10" xfId="4" applyBorder="1" applyAlignment="1">
      <alignment horizontal="left"/>
    </xf>
    <xf numFmtId="0" fontId="5" fillId="0" borderId="2" xfId="4" applyBorder="1" applyAlignment="1">
      <alignment horizontal="left"/>
    </xf>
    <xf numFmtId="0" fontId="34" fillId="11" borderId="65" xfId="12" applyFont="1" applyFill="1" applyBorder="1" applyAlignment="1">
      <alignment horizontal="right" vertical="center"/>
    </xf>
    <xf numFmtId="0" fontId="34" fillId="12" borderId="65" xfId="12" applyFont="1" applyFill="1" applyBorder="1" applyAlignment="1">
      <alignment horizontal="right" vertical="center"/>
    </xf>
    <xf numFmtId="0" fontId="14" fillId="20" borderId="0" xfId="4" applyFont="1" applyFill="1" applyAlignment="1">
      <alignment horizontal="left" vertical="center" wrapText="1"/>
    </xf>
    <xf numFmtId="0" fontId="6" fillId="0" borderId="0" xfId="4" applyFont="1" applyAlignment="1">
      <alignment horizontal="right"/>
    </xf>
    <xf numFmtId="0" fontId="21" fillId="0" borderId="0" xfId="4" applyFont="1" applyAlignment="1">
      <alignment horizontal="left" wrapText="1"/>
    </xf>
    <xf numFmtId="0" fontId="14" fillId="15" borderId="2" xfId="4" applyFont="1" applyFill="1" applyBorder="1" applyAlignment="1">
      <alignment horizontal="center" vertical="center"/>
    </xf>
    <xf numFmtId="0" fontId="6" fillId="0" borderId="0" xfId="4" applyFont="1" applyAlignment="1">
      <alignment horizontal="center" vertical="top"/>
    </xf>
    <xf numFmtId="0" fontId="14" fillId="9" borderId="2" xfId="4" applyFont="1" applyFill="1" applyBorder="1" applyAlignment="1">
      <alignment horizontal="center" vertical="center"/>
    </xf>
    <xf numFmtId="0" fontId="5" fillId="0" borderId="55" xfId="0" applyFont="1" applyBorder="1" applyAlignment="1">
      <alignment horizontal="left" vertical="center"/>
    </xf>
    <xf numFmtId="0" fontId="5" fillId="0" borderId="3" xfId="0" applyFont="1" applyBorder="1" applyAlignment="1">
      <alignment horizontal="left" vertical="center"/>
    </xf>
    <xf numFmtId="0" fontId="5" fillId="0" borderId="5" xfId="0" applyFont="1" applyBorder="1" applyAlignment="1">
      <alignment horizontal="left" vertical="center"/>
    </xf>
    <xf numFmtId="0" fontId="5" fillId="0" borderId="55" xfId="0" applyFont="1" applyBorder="1" applyAlignment="1">
      <alignment horizontal="left" vertical="center" wrapText="1"/>
    </xf>
    <xf numFmtId="0" fontId="5" fillId="0" borderId="3" xfId="0" applyFont="1" applyBorder="1" applyAlignment="1">
      <alignment horizontal="left" vertical="center" wrapText="1"/>
    </xf>
    <xf numFmtId="0" fontId="5" fillId="0" borderId="5" xfId="0" applyFont="1" applyBorder="1" applyAlignment="1">
      <alignment horizontal="left" vertical="center" wrapText="1"/>
    </xf>
    <xf numFmtId="164" fontId="6" fillId="0" borderId="50" xfId="4" applyNumberFormat="1" applyFont="1" applyBorder="1" applyAlignment="1">
      <alignment horizontal="right" wrapText="1"/>
    </xf>
    <xf numFmtId="164" fontId="6" fillId="0" borderId="70" xfId="4" applyNumberFormat="1" applyFont="1" applyBorder="1" applyAlignment="1">
      <alignment horizontal="right" wrapText="1"/>
    </xf>
    <xf numFmtId="0" fontId="6" fillId="2" borderId="23"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6" fillId="0" borderId="6" xfId="4" applyFont="1" applyBorder="1" applyAlignment="1">
      <alignment horizontal="center"/>
    </xf>
    <xf numFmtId="0" fontId="6" fillId="2" borderId="52" xfId="4" applyFont="1" applyFill="1" applyBorder="1" applyAlignment="1">
      <alignment horizontal="right" vertical="center"/>
    </xf>
    <xf numFmtId="0" fontId="6" fillId="2" borderId="15" xfId="4" applyFont="1" applyFill="1" applyBorder="1" applyAlignment="1">
      <alignment horizontal="right" vertical="center"/>
    </xf>
    <xf numFmtId="0" fontId="6" fillId="2" borderId="32" xfId="4" applyFont="1" applyFill="1" applyBorder="1" applyAlignment="1">
      <alignment horizontal="right" vertical="center"/>
    </xf>
    <xf numFmtId="0" fontId="6" fillId="2" borderId="53" xfId="4" applyFont="1" applyFill="1" applyBorder="1" applyAlignment="1">
      <alignment horizontal="right" vertical="center" wrapText="1"/>
    </xf>
    <xf numFmtId="0" fontId="6" fillId="2" borderId="59" xfId="4" applyFont="1" applyFill="1" applyBorder="1" applyAlignment="1">
      <alignment horizontal="right" vertical="center"/>
    </xf>
    <xf numFmtId="0" fontId="6" fillId="2" borderId="60" xfId="4" applyFont="1" applyFill="1" applyBorder="1" applyAlignment="1">
      <alignment horizontal="right" vertical="center"/>
    </xf>
    <xf numFmtId="0" fontId="5" fillId="0" borderId="51" xfId="4" applyBorder="1" applyAlignment="1">
      <alignment horizontal="right" vertical="center"/>
    </xf>
    <xf numFmtId="0" fontId="5" fillId="0" borderId="2" xfId="4" applyBorder="1" applyAlignment="1">
      <alignment horizontal="right" vertical="center"/>
    </xf>
    <xf numFmtId="0" fontId="5" fillId="0" borderId="8" xfId="4" applyBorder="1" applyAlignment="1">
      <alignment horizontal="right" vertical="center"/>
    </xf>
    <xf numFmtId="0" fontId="6" fillId="3" borderId="38" xfId="4" applyFont="1" applyFill="1" applyBorder="1" applyAlignment="1">
      <alignment horizontal="right" vertical="center"/>
    </xf>
    <xf numFmtId="0" fontId="6" fillId="3" borderId="39" xfId="4" applyFont="1" applyFill="1" applyBorder="1" applyAlignment="1">
      <alignment horizontal="right" vertical="center"/>
    </xf>
    <xf numFmtId="0" fontId="6" fillId="3" borderId="40" xfId="4" applyFont="1" applyFill="1" applyBorder="1" applyAlignment="1">
      <alignment horizontal="right" vertical="center"/>
    </xf>
    <xf numFmtId="0" fontId="23" fillId="0" borderId="0" xfId="0" applyFont="1" applyAlignment="1">
      <alignment horizontal="center" wrapText="1"/>
    </xf>
    <xf numFmtId="0" fontId="23" fillId="0" borderId="70" xfId="0" applyFont="1" applyBorder="1" applyAlignment="1">
      <alignment horizontal="center" wrapText="1"/>
    </xf>
    <xf numFmtId="0" fontId="6" fillId="15" borderId="61" xfId="0" applyFont="1" applyFill="1" applyBorder="1" applyAlignment="1">
      <alignment horizontal="center" vertical="center" wrapText="1"/>
    </xf>
    <xf numFmtId="0" fontId="6" fillId="15" borderId="37" xfId="0" applyFont="1" applyFill="1" applyBorder="1" applyAlignment="1">
      <alignment horizontal="center" vertical="center" wrapText="1"/>
    </xf>
    <xf numFmtId="0" fontId="6" fillId="15" borderId="58" xfId="0" applyFont="1" applyFill="1" applyBorder="1" applyAlignment="1">
      <alignment horizontal="center" vertical="center" wrapText="1"/>
    </xf>
    <xf numFmtId="0" fontId="6" fillId="15" borderId="36" xfId="0" applyFont="1" applyFill="1" applyBorder="1" applyAlignment="1">
      <alignment horizontal="center" vertical="center" wrapText="1"/>
    </xf>
    <xf numFmtId="0" fontId="6" fillId="15" borderId="62" xfId="0" applyFont="1" applyFill="1" applyBorder="1" applyAlignment="1">
      <alignment horizontal="center" vertical="center" wrapText="1"/>
    </xf>
    <xf numFmtId="0" fontId="6" fillId="15" borderId="17"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5" borderId="18" xfId="0" applyFont="1" applyFill="1" applyBorder="1" applyAlignment="1">
      <alignment horizontal="center" vertical="center" wrapText="1"/>
    </xf>
    <xf numFmtId="0" fontId="6" fillId="0" borderId="2" xfId="4" applyFont="1" applyBorder="1" applyAlignment="1">
      <alignment horizontal="center"/>
    </xf>
    <xf numFmtId="0" fontId="6" fillId="15" borderId="73"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6" fillId="15" borderId="12" xfId="0" applyFont="1" applyFill="1" applyBorder="1" applyAlignment="1">
      <alignment horizontal="center" vertical="center" wrapText="1"/>
    </xf>
    <xf numFmtId="0" fontId="6" fillId="15" borderId="56" xfId="0" applyFont="1" applyFill="1" applyBorder="1" applyAlignment="1">
      <alignment horizontal="center" vertical="center" wrapText="1"/>
    </xf>
    <xf numFmtId="0" fontId="6" fillId="15" borderId="27" xfId="0" applyFont="1" applyFill="1" applyBorder="1" applyAlignment="1">
      <alignment horizontal="center" vertical="center" wrapText="1"/>
    </xf>
    <xf numFmtId="0" fontId="6" fillId="15" borderId="9"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5" fillId="0" borderId="0" xfId="0" applyFont="1" applyAlignment="1">
      <alignment horizontal="left" wrapText="1"/>
    </xf>
    <xf numFmtId="0" fontId="0" fillId="0" borderId="2" xfId="0" applyBorder="1" applyAlignment="1">
      <alignment horizontal="center"/>
    </xf>
    <xf numFmtId="0" fontId="5" fillId="0" borderId="51" xfId="0" applyFont="1" applyBorder="1" applyAlignment="1">
      <alignment horizontal="right" vertical="center"/>
    </xf>
    <xf numFmtId="0" fontId="5" fillId="0" borderId="2" xfId="0" applyFont="1" applyBorder="1" applyAlignment="1">
      <alignment horizontal="right" vertical="center"/>
    </xf>
    <xf numFmtId="0" fontId="5" fillId="0" borderId="8" xfId="0" applyFont="1" applyBorder="1" applyAlignment="1">
      <alignment horizontal="right" vertical="center"/>
    </xf>
    <xf numFmtId="0" fontId="6" fillId="2" borderId="53" xfId="0" applyFont="1" applyFill="1" applyBorder="1" applyAlignment="1">
      <alignment horizontal="right" vertical="center" wrapText="1"/>
    </xf>
    <xf numFmtId="0" fontId="6" fillId="2" borderId="59" xfId="0" applyFont="1" applyFill="1" applyBorder="1" applyAlignment="1">
      <alignment horizontal="right" vertical="center"/>
    </xf>
    <xf numFmtId="0" fontId="6" fillId="2" borderId="60" xfId="0" applyFont="1" applyFill="1" applyBorder="1" applyAlignment="1">
      <alignment horizontal="right" vertical="center"/>
    </xf>
    <xf numFmtId="0" fontId="6" fillId="2" borderId="52" xfId="0" applyFont="1" applyFill="1" applyBorder="1" applyAlignment="1">
      <alignment horizontal="right" vertical="center"/>
    </xf>
    <xf numFmtId="0" fontId="6" fillId="2" borderId="15" xfId="0" applyFont="1" applyFill="1" applyBorder="1" applyAlignment="1">
      <alignment horizontal="right" vertical="center"/>
    </xf>
    <xf numFmtId="0" fontId="6" fillId="2" borderId="32" xfId="0" applyFont="1" applyFill="1" applyBorder="1" applyAlignment="1">
      <alignment horizontal="right" vertical="center"/>
    </xf>
    <xf numFmtId="0" fontId="6" fillId="0" borderId="6" xfId="0" applyFont="1" applyBorder="1" applyAlignment="1">
      <alignment horizontal="center" vertical="center"/>
    </xf>
    <xf numFmtId="0" fontId="0" fillId="0" borderId="0" xfId="0" applyAlignment="1">
      <alignment horizontal="left" wrapText="1"/>
    </xf>
    <xf numFmtId="0" fontId="6" fillId="3" borderId="38" xfId="0" applyFont="1" applyFill="1" applyBorder="1" applyAlignment="1">
      <alignment horizontal="right" vertical="center"/>
    </xf>
    <xf numFmtId="0" fontId="6" fillId="3" borderId="39" xfId="0" applyFont="1" applyFill="1" applyBorder="1" applyAlignment="1">
      <alignment horizontal="right" vertical="center"/>
    </xf>
    <xf numFmtId="0" fontId="6" fillId="3" borderId="40" xfId="0" applyFont="1" applyFill="1" applyBorder="1" applyAlignment="1">
      <alignment horizontal="right" vertical="center"/>
    </xf>
    <xf numFmtId="0" fontId="14" fillId="15" borderId="2" xfId="0" applyFont="1" applyFill="1" applyBorder="1" applyAlignment="1">
      <alignment horizontal="center" vertical="center"/>
    </xf>
    <xf numFmtId="0" fontId="6" fillId="0" borderId="0" xfId="0" applyFont="1" applyAlignment="1">
      <alignment horizontal="center" vertical="top"/>
    </xf>
    <xf numFmtId="0" fontId="14" fillId="9" borderId="2" xfId="0" applyFont="1" applyFill="1" applyBorder="1" applyAlignment="1">
      <alignment horizontal="center" vertical="center"/>
    </xf>
    <xf numFmtId="0" fontId="21" fillId="0" borderId="0" xfId="0" applyFont="1" applyAlignment="1">
      <alignment horizontal="left" wrapText="1"/>
    </xf>
    <xf numFmtId="0" fontId="6" fillId="0" borderId="0" xfId="0" applyFont="1" applyAlignment="1">
      <alignment horizontal="right"/>
    </xf>
  </cellXfs>
  <cellStyles count="14">
    <cellStyle name="Comma" xfId="1" builtinId="3"/>
    <cellStyle name="Currency" xfId="2" builtinId="4"/>
    <cellStyle name="Currency 2" xfId="10" xr:uid="{FAFDDE1C-F1D3-479A-96E2-C1BA4E242287}"/>
    <cellStyle name="Currency 2 2" xfId="13" xr:uid="{E888534A-08E2-44B1-ADB4-AFC494B315E4}"/>
    <cellStyle name="Hyperlink 2" xfId="3" xr:uid="{00000000-0005-0000-0000-000003000000}"/>
    <cellStyle name="Hyperlink 3" xfId="6" xr:uid="{65B1FD7B-3D0C-463D-8F4C-422FD5078A49}"/>
    <cellStyle name="Hyperlink 3 2" xfId="8" xr:uid="{945F5425-24CF-4E6D-A69D-B56BF7AF4261}"/>
    <cellStyle name="Hyperlink 4" xfId="11" xr:uid="{E8882A6F-A8B7-42B2-9DAB-3282F4D0008C}"/>
    <cellStyle name="Normal" xfId="0" builtinId="0"/>
    <cellStyle name="Normal 2" xfId="4" xr:uid="{5D760DE8-B70F-45F2-855E-A3E6D18BB0CD}"/>
    <cellStyle name="Normal 3" xfId="5" xr:uid="{C032B376-0058-46BF-A9FF-AF28DEDD8845}"/>
    <cellStyle name="Normal 3 2" xfId="7" xr:uid="{2EE9DD90-5FA7-4174-900C-6EFF404734E6}"/>
    <cellStyle name="Normal 4" xfId="9" xr:uid="{960F1734-C4E0-464E-AE0F-195305EA68FE}"/>
    <cellStyle name="Normal 4 2" xfId="12" xr:uid="{818BAD51-865A-47A9-A8F9-04A2E50DEE3D}"/>
  </cellStyles>
  <dxfs count="0"/>
  <tableStyles count="0" defaultTableStyle="TableStyleMedium9" defaultPivotStyle="PivotStyleLight16"/>
  <colors>
    <mruColors>
      <color rgb="FFE268D9"/>
      <color rgb="FFF9A5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oneCellAnchor>
    <xdr:from>
      <xdr:col>2</xdr:col>
      <xdr:colOff>4974628</xdr:colOff>
      <xdr:row>20</xdr:row>
      <xdr:rowOff>282661</xdr:rowOff>
    </xdr:from>
    <xdr:ext cx="5905727" cy="1577098"/>
    <xdr:sp macro="" textlink="">
      <xdr:nvSpPr>
        <xdr:cNvPr id="2" name="Rectangle 1">
          <a:extLst>
            <a:ext uri="{FF2B5EF4-FFF2-40B4-BE49-F238E27FC236}">
              <a16:creationId xmlns:a16="http://schemas.microsoft.com/office/drawing/2014/main" id="{F9D4F136-2524-4A10-BB62-04607D281322}"/>
            </a:ext>
          </a:extLst>
        </xdr:cNvPr>
        <xdr:cNvSpPr/>
      </xdr:nvSpPr>
      <xdr:spPr>
        <a:xfrm rot="20969531">
          <a:off x="5789968" y="10554421"/>
          <a:ext cx="5905727" cy="1577098"/>
        </a:xfrm>
        <a:prstGeom prst="rect">
          <a:avLst/>
        </a:prstGeom>
        <a:noFill/>
      </xdr:spPr>
      <xdr:txBody>
        <a:bodyPr wrap="square" lIns="91440" tIns="45720" rIns="91440" bIns="45720">
          <a:spAutoFit/>
        </a:bodyPr>
        <a:lstStyle/>
        <a:p>
          <a:pPr algn="ctr"/>
          <a:r>
            <a:rPr lang="en-US" sz="9600" b="1" cap="none" spc="0">
              <a:ln w="22225">
                <a:solidFill>
                  <a:schemeClr val="accent2"/>
                </a:solidFill>
                <a:prstDash val="solid"/>
              </a:ln>
              <a:solidFill>
                <a:schemeClr val="accent2">
                  <a:lumMod val="40000"/>
                  <a:lumOff val="60000"/>
                </a:schemeClr>
              </a:solidFill>
              <a:effectLst/>
              <a:latin typeface="Castellar" panose="020A0402060406010301" pitchFamily="18" charset="0"/>
            </a:rPr>
            <a:t>Sample</a:t>
          </a:r>
        </a:p>
      </xdr:txBody>
    </xdr:sp>
    <xdr:clientData/>
  </xdr:oneCellAnchor>
  <xdr:oneCellAnchor>
    <xdr:from>
      <xdr:col>2</xdr:col>
      <xdr:colOff>3540760</xdr:colOff>
      <xdr:row>4</xdr:row>
      <xdr:rowOff>1026158</xdr:rowOff>
    </xdr:from>
    <xdr:ext cx="5905727" cy="1577098"/>
    <xdr:sp macro="" textlink="">
      <xdr:nvSpPr>
        <xdr:cNvPr id="3" name="Rectangle 2">
          <a:extLst>
            <a:ext uri="{FF2B5EF4-FFF2-40B4-BE49-F238E27FC236}">
              <a16:creationId xmlns:a16="http://schemas.microsoft.com/office/drawing/2014/main" id="{EBB208AA-C566-469D-9958-D917B3D6206A}"/>
            </a:ext>
          </a:extLst>
        </xdr:cNvPr>
        <xdr:cNvSpPr/>
      </xdr:nvSpPr>
      <xdr:spPr>
        <a:xfrm rot="20969531">
          <a:off x="4359910" y="3359783"/>
          <a:ext cx="5905727" cy="1577098"/>
        </a:xfrm>
        <a:prstGeom prst="rect">
          <a:avLst/>
        </a:prstGeom>
        <a:noFill/>
      </xdr:spPr>
      <xdr:txBody>
        <a:bodyPr wrap="square" lIns="91440" tIns="45720" rIns="91440" bIns="45720">
          <a:spAutoFit/>
        </a:bodyPr>
        <a:lstStyle/>
        <a:p>
          <a:pPr algn="ctr"/>
          <a:r>
            <a:rPr lang="en-US" sz="9600" b="1" cap="none" spc="0">
              <a:ln w="22225">
                <a:solidFill>
                  <a:schemeClr val="accent2"/>
                </a:solidFill>
                <a:prstDash val="solid"/>
              </a:ln>
              <a:solidFill>
                <a:schemeClr val="accent2">
                  <a:lumMod val="40000"/>
                  <a:lumOff val="60000"/>
                </a:schemeClr>
              </a:solidFill>
              <a:effectLst/>
              <a:latin typeface="Castellar" panose="020A0402060406010301" pitchFamily="18" charset="0"/>
            </a:rPr>
            <a:t>Sample</a:t>
          </a:r>
        </a:p>
      </xdr:txBody>
    </xdr:sp>
    <xdr:clientData/>
  </xdr:oneCellAnchor>
  <xdr:twoCellAnchor editAs="oneCell">
    <xdr:from>
      <xdr:col>9</xdr:col>
      <xdr:colOff>409807</xdr:colOff>
      <xdr:row>1</xdr:row>
      <xdr:rowOff>613410</xdr:rowOff>
    </xdr:from>
    <xdr:to>
      <xdr:col>23</xdr:col>
      <xdr:colOff>304799</xdr:colOff>
      <xdr:row>6</xdr:row>
      <xdr:rowOff>358291</xdr:rowOff>
    </xdr:to>
    <xdr:pic>
      <xdr:nvPicPr>
        <xdr:cNvPr id="5" name="Picture 4">
          <a:extLst>
            <a:ext uri="{FF2B5EF4-FFF2-40B4-BE49-F238E27FC236}">
              <a16:creationId xmlns:a16="http://schemas.microsoft.com/office/drawing/2014/main" id="{5FFADE1D-E69F-8C3A-1860-D6AC28F37C46}"/>
            </a:ext>
          </a:extLst>
        </xdr:cNvPr>
        <xdr:cNvPicPr>
          <a:picLocks noChangeAspect="1"/>
        </xdr:cNvPicPr>
      </xdr:nvPicPr>
      <xdr:blipFill>
        <a:blip xmlns:r="http://schemas.openxmlformats.org/officeDocument/2006/relationships" r:embed="rId1"/>
        <a:stretch>
          <a:fillRect/>
        </a:stretch>
      </xdr:blipFill>
      <xdr:spPr>
        <a:xfrm>
          <a:off x="13135207" y="1350010"/>
          <a:ext cx="8784992" cy="4685181"/>
        </a:xfrm>
        <a:prstGeom prst="rect">
          <a:avLst/>
        </a:prstGeom>
        <a:solidFill>
          <a:srgbClr val="00B0F0"/>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152400</xdr:colOff>
      <xdr:row>4</xdr:row>
      <xdr:rowOff>435610</xdr:rowOff>
    </xdr:from>
    <xdr:to>
      <xdr:col>14</xdr:col>
      <xdr:colOff>406400</xdr:colOff>
      <xdr:row>8</xdr:row>
      <xdr:rowOff>397510</xdr:rowOff>
    </xdr:to>
    <xdr:sp macro="" textlink="">
      <xdr:nvSpPr>
        <xdr:cNvPr id="2" name="TextBox 1">
          <a:extLst>
            <a:ext uri="{FF2B5EF4-FFF2-40B4-BE49-F238E27FC236}">
              <a16:creationId xmlns:a16="http://schemas.microsoft.com/office/drawing/2014/main" id="{DCD87D66-B759-4172-83D4-B0EEDE752A8B}"/>
            </a:ext>
          </a:extLst>
        </xdr:cNvPr>
        <xdr:cNvSpPr txBox="1"/>
      </xdr:nvSpPr>
      <xdr:spPr>
        <a:xfrm>
          <a:off x="11991975" y="5125720"/>
          <a:ext cx="1907540" cy="1876425"/>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t>Blue</a:t>
          </a:r>
          <a:r>
            <a:rPr lang="en-US" sz="2000" baseline="0"/>
            <a:t> s</a:t>
          </a:r>
          <a:r>
            <a:rPr lang="en-US" sz="2000"/>
            <a:t>haded sections are filled out AFTER bids</a:t>
          </a:r>
          <a:r>
            <a:rPr lang="en-US" sz="2000" baseline="0"/>
            <a:t> are received. </a:t>
          </a:r>
          <a:endParaRPr lang="en-US" sz="2000"/>
        </a:p>
      </xdr:txBody>
    </xdr:sp>
    <xdr:clientData/>
  </xdr:twoCellAnchor>
  <xdr:twoCellAnchor>
    <xdr:from>
      <xdr:col>9</xdr:col>
      <xdr:colOff>111314</xdr:colOff>
      <xdr:row>3</xdr:row>
      <xdr:rowOff>2570192</xdr:rowOff>
    </xdr:from>
    <xdr:to>
      <xdr:col>11</xdr:col>
      <xdr:colOff>130171</xdr:colOff>
      <xdr:row>4</xdr:row>
      <xdr:rowOff>113779</xdr:rowOff>
    </xdr:to>
    <xdr:sp macro="" textlink="">
      <xdr:nvSpPr>
        <xdr:cNvPr id="3" name="Arrow: Left 2">
          <a:extLst>
            <a:ext uri="{FF2B5EF4-FFF2-40B4-BE49-F238E27FC236}">
              <a16:creationId xmlns:a16="http://schemas.microsoft.com/office/drawing/2014/main" id="{4E0D3558-C0DF-4588-A9DA-1E4A44891E43}"/>
            </a:ext>
          </a:extLst>
        </xdr:cNvPr>
        <xdr:cNvSpPr/>
      </xdr:nvSpPr>
      <xdr:spPr bwMode="auto">
        <a:xfrm rot="1971292">
          <a:off x="10693589" y="4383752"/>
          <a:ext cx="1279967" cy="416327"/>
        </a:xfrm>
        <a:prstGeom prst="leftArrow">
          <a:avLst/>
        </a:prstGeom>
        <a:solidFill>
          <a:schemeClr val="accent3">
            <a:lumMod val="20000"/>
            <a:lumOff val="80000"/>
          </a:schemeClr>
        </a:solidFill>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US" sz="1100"/>
        </a:p>
      </xdr:txBody>
    </xdr:sp>
    <xdr:clientData/>
  </xdr:twoCellAnchor>
  <xdr:twoCellAnchor>
    <xdr:from>
      <xdr:col>9</xdr:col>
      <xdr:colOff>99838</xdr:colOff>
      <xdr:row>5</xdr:row>
      <xdr:rowOff>435615</xdr:rowOff>
    </xdr:from>
    <xdr:to>
      <xdr:col>11</xdr:col>
      <xdr:colOff>94955</xdr:colOff>
      <xdr:row>6</xdr:row>
      <xdr:rowOff>290855</xdr:rowOff>
    </xdr:to>
    <xdr:sp macro="" textlink="">
      <xdr:nvSpPr>
        <xdr:cNvPr id="4" name="Arrow: Left 3">
          <a:extLst>
            <a:ext uri="{FF2B5EF4-FFF2-40B4-BE49-F238E27FC236}">
              <a16:creationId xmlns:a16="http://schemas.microsoft.com/office/drawing/2014/main" id="{9F346D80-1C29-4064-B2B8-49CDDDCEDF6C}"/>
            </a:ext>
          </a:extLst>
        </xdr:cNvPr>
        <xdr:cNvSpPr/>
      </xdr:nvSpPr>
      <xdr:spPr bwMode="auto">
        <a:xfrm rot="1258099">
          <a:off x="10678303" y="5563875"/>
          <a:ext cx="1260037" cy="447695"/>
        </a:xfrm>
        <a:prstGeom prst="leftArrow">
          <a:avLst>
            <a:gd name="adj1" fmla="val 50000"/>
            <a:gd name="adj2" fmla="val 50000"/>
          </a:avLst>
        </a:prstGeom>
        <a:solidFill>
          <a:schemeClr val="accent3">
            <a:lumMod val="20000"/>
            <a:lumOff val="80000"/>
          </a:schemeClr>
        </a:solidFill>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US" sz="1100"/>
        </a:p>
      </xdr:txBody>
    </xdr:sp>
    <xdr:clientData/>
  </xdr:twoCellAnchor>
  <xdr:twoCellAnchor>
    <xdr:from>
      <xdr:col>11</xdr:col>
      <xdr:colOff>114300</xdr:colOff>
      <xdr:row>2</xdr:row>
      <xdr:rowOff>54610</xdr:rowOff>
    </xdr:from>
    <xdr:to>
      <xdr:col>14</xdr:col>
      <xdr:colOff>5507990</xdr:colOff>
      <xdr:row>3</xdr:row>
      <xdr:rowOff>1854200</xdr:rowOff>
    </xdr:to>
    <xdr:sp macro="" textlink="">
      <xdr:nvSpPr>
        <xdr:cNvPr id="5" name="TextBox 4">
          <a:extLst>
            <a:ext uri="{FF2B5EF4-FFF2-40B4-BE49-F238E27FC236}">
              <a16:creationId xmlns:a16="http://schemas.microsoft.com/office/drawing/2014/main" id="{3468E104-FBB8-4BB4-92EA-795853FF9095}"/>
            </a:ext>
          </a:extLst>
        </xdr:cNvPr>
        <xdr:cNvSpPr txBox="1"/>
      </xdr:nvSpPr>
      <xdr:spPr>
        <a:xfrm>
          <a:off x="11988800" y="1451610"/>
          <a:ext cx="7070090" cy="2205990"/>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t>Enter Name of School Sponsor at the top.</a:t>
          </a:r>
        </a:p>
        <a:p>
          <a:endParaRPr lang="en-US" sz="2000"/>
        </a:p>
        <a:p>
          <a:r>
            <a:rPr lang="en-US" sz="2000"/>
            <a:t>Enter</a:t>
          </a:r>
          <a:r>
            <a:rPr lang="en-US" sz="2000" baseline="0"/>
            <a:t> non-price criteria, sub-criteria and point values in the same format as found on the Sample Bid Point Calculator in columns A and B.  </a:t>
          </a:r>
          <a:r>
            <a:rPr lang="en-US" sz="2000" b="1" baseline="0"/>
            <a:t>Non-price criteria items should total 49 points.</a:t>
          </a:r>
        </a:p>
        <a:p>
          <a:endParaRPr lang="en-US" sz="2000"/>
        </a:p>
      </xdr:txBody>
    </xdr:sp>
    <xdr:clientData/>
  </xdr:twoCellAnchor>
  <xdr:twoCellAnchor>
    <xdr:from>
      <xdr:col>9</xdr:col>
      <xdr:colOff>112499</xdr:colOff>
      <xdr:row>9</xdr:row>
      <xdr:rowOff>33248</xdr:rowOff>
    </xdr:from>
    <xdr:to>
      <xdr:col>11</xdr:col>
      <xdr:colOff>103455</xdr:colOff>
      <xdr:row>10</xdr:row>
      <xdr:rowOff>59184</xdr:rowOff>
    </xdr:to>
    <xdr:sp macro="" textlink="">
      <xdr:nvSpPr>
        <xdr:cNvPr id="6" name="Arrow: Left 5">
          <a:extLst>
            <a:ext uri="{FF2B5EF4-FFF2-40B4-BE49-F238E27FC236}">
              <a16:creationId xmlns:a16="http://schemas.microsoft.com/office/drawing/2014/main" id="{B2C84AC0-8D08-4C85-B2B0-A77F52C2468D}"/>
            </a:ext>
          </a:extLst>
        </xdr:cNvPr>
        <xdr:cNvSpPr/>
      </xdr:nvSpPr>
      <xdr:spPr bwMode="auto">
        <a:xfrm rot="19636991">
          <a:off x="10694774" y="7070318"/>
          <a:ext cx="1246351" cy="462181"/>
        </a:xfrm>
        <a:prstGeom prst="leftArrow">
          <a:avLst>
            <a:gd name="adj1" fmla="val 50000"/>
            <a:gd name="adj2" fmla="val 50000"/>
          </a:avLst>
        </a:prstGeom>
        <a:solidFill>
          <a:schemeClr val="accent3">
            <a:lumMod val="20000"/>
            <a:lumOff val="80000"/>
          </a:schemeClr>
        </a:solidFill>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lang="en-US" sz="1100"/>
        </a:p>
      </xdr:txBody>
    </xdr:sp>
    <xdr:clientData/>
  </xdr:twoCellAnchor>
  <xdr:twoCellAnchor>
    <xdr:from>
      <xdr:col>0</xdr:col>
      <xdr:colOff>110490</xdr:colOff>
      <xdr:row>2</xdr:row>
      <xdr:rowOff>361314</xdr:rowOff>
    </xdr:from>
    <xdr:to>
      <xdr:col>8</xdr:col>
      <xdr:colOff>609600</xdr:colOff>
      <xdr:row>3</xdr:row>
      <xdr:rowOff>850900</xdr:rowOff>
    </xdr:to>
    <xdr:sp macro="" textlink="">
      <xdr:nvSpPr>
        <xdr:cNvPr id="7" name="TextBox 6">
          <a:extLst>
            <a:ext uri="{FF2B5EF4-FFF2-40B4-BE49-F238E27FC236}">
              <a16:creationId xmlns:a16="http://schemas.microsoft.com/office/drawing/2014/main" id="{44C10325-9140-46EB-A444-C7CD5170D911}"/>
            </a:ext>
          </a:extLst>
        </xdr:cNvPr>
        <xdr:cNvSpPr txBox="1"/>
      </xdr:nvSpPr>
      <xdr:spPr>
        <a:xfrm>
          <a:off x="110490" y="1765299"/>
          <a:ext cx="10347960" cy="899161"/>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FF0000"/>
              </a:solidFill>
              <a:latin typeface="Arial" panose="020B0604020202020204" pitchFamily="34" charset="0"/>
              <a:cs typeface="Arial" panose="020B0604020202020204" pitchFamily="34" charset="0"/>
            </a:rPr>
            <a:t>NON-PRICE</a:t>
          </a:r>
          <a:r>
            <a:rPr lang="en-US" sz="2400" b="1" baseline="0">
              <a:solidFill>
                <a:srgbClr val="FF0000"/>
              </a:solidFill>
              <a:latin typeface="Arial" panose="020B0604020202020204" pitchFamily="34" charset="0"/>
              <a:cs typeface="Arial" panose="020B0604020202020204" pitchFamily="34" charset="0"/>
            </a:rPr>
            <a:t> CRITERIA ITEMS </a:t>
          </a:r>
          <a:r>
            <a:rPr lang="en-US" sz="2400" b="1" u="sng">
              <a:solidFill>
                <a:srgbClr val="FF0000"/>
              </a:solidFill>
              <a:latin typeface="Arial" panose="020B0604020202020204" pitchFamily="34" charset="0"/>
              <a:cs typeface="Arial" panose="020B0604020202020204" pitchFamily="34" charset="0"/>
            </a:rPr>
            <a:t>MUST</a:t>
          </a:r>
          <a:r>
            <a:rPr lang="en-US" sz="2400" b="1">
              <a:solidFill>
                <a:srgbClr val="FF0000"/>
              </a:solidFill>
              <a:latin typeface="Arial" panose="020B0604020202020204" pitchFamily="34" charset="0"/>
              <a:cs typeface="Arial" panose="020B0604020202020204" pitchFamily="34" charset="0"/>
            </a:rPr>
            <a:t> BE COMPLETED BY SPONSOR </a:t>
          </a:r>
        </a:p>
        <a:p>
          <a:pPr algn="ctr"/>
          <a:r>
            <a:rPr lang="en-US" sz="2400" b="1">
              <a:solidFill>
                <a:srgbClr val="FF0000"/>
              </a:solidFill>
              <a:latin typeface="Arial" panose="020B0604020202020204" pitchFamily="34" charset="0"/>
              <a:cs typeface="Arial" panose="020B0604020202020204" pitchFamily="34" charset="0"/>
            </a:rPr>
            <a:t>BEFORE SUBMISSION TO MDE</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495300</xdr:colOff>
      <xdr:row>0</xdr:row>
      <xdr:rowOff>510588</xdr:rowOff>
    </xdr:from>
    <xdr:to>
      <xdr:col>11</xdr:col>
      <xdr:colOff>75596</xdr:colOff>
      <xdr:row>8</xdr:row>
      <xdr:rowOff>105362</xdr:rowOff>
    </xdr:to>
    <xdr:pic>
      <xdr:nvPicPr>
        <xdr:cNvPr id="6" name="Picture 5">
          <a:extLst>
            <a:ext uri="{FF2B5EF4-FFF2-40B4-BE49-F238E27FC236}">
              <a16:creationId xmlns:a16="http://schemas.microsoft.com/office/drawing/2014/main" id="{8F7AF89E-B6E6-7A28-821A-7EA3DB9F50EE}"/>
            </a:ext>
          </a:extLst>
        </xdr:cNvPr>
        <xdr:cNvPicPr>
          <a:picLocks noChangeAspect="1"/>
        </xdr:cNvPicPr>
      </xdr:nvPicPr>
      <xdr:blipFill>
        <a:blip xmlns:r="http://schemas.openxmlformats.org/officeDocument/2006/relationships" r:embed="rId1"/>
        <a:stretch>
          <a:fillRect/>
        </a:stretch>
      </xdr:blipFill>
      <xdr:spPr>
        <a:xfrm>
          <a:off x="8201025" y="510588"/>
          <a:ext cx="7171721" cy="1604549"/>
        </a:xfrm>
        <a:prstGeom prst="rect">
          <a:avLst/>
        </a:prstGeom>
        <a:solidFill>
          <a:srgbClr val="00B0F0"/>
        </a:solid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514143</xdr:colOff>
      <xdr:row>1</xdr:row>
      <xdr:rowOff>40005</xdr:rowOff>
    </xdr:from>
    <xdr:to>
      <xdr:col>13</xdr:col>
      <xdr:colOff>561752</xdr:colOff>
      <xdr:row>16</xdr:row>
      <xdr:rowOff>85725</xdr:rowOff>
    </xdr:to>
    <xdr:pic>
      <xdr:nvPicPr>
        <xdr:cNvPr id="4" name="Picture 3">
          <a:extLst>
            <a:ext uri="{FF2B5EF4-FFF2-40B4-BE49-F238E27FC236}">
              <a16:creationId xmlns:a16="http://schemas.microsoft.com/office/drawing/2014/main" id="{B3BBD00F-B4E1-1D13-B504-FFBC4453C09B}"/>
            </a:ext>
          </a:extLst>
        </xdr:cNvPr>
        <xdr:cNvPicPr>
          <a:picLocks noChangeAspect="1"/>
        </xdr:cNvPicPr>
      </xdr:nvPicPr>
      <xdr:blipFill>
        <a:blip xmlns:r="http://schemas.openxmlformats.org/officeDocument/2006/relationships" r:embed="rId1"/>
        <a:stretch>
          <a:fillRect/>
        </a:stretch>
      </xdr:blipFill>
      <xdr:spPr>
        <a:xfrm>
          <a:off x="6343443" y="640080"/>
          <a:ext cx="6753209" cy="3579495"/>
        </a:xfrm>
        <a:prstGeom prst="rect">
          <a:avLst/>
        </a:prstGeom>
        <a:solidFill>
          <a:srgbClr val="00B0F0"/>
        </a:solid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15240</xdr:colOff>
      <xdr:row>1</xdr:row>
      <xdr:rowOff>16922</xdr:rowOff>
    </xdr:from>
    <xdr:to>
      <xdr:col>18</xdr:col>
      <xdr:colOff>479456</xdr:colOff>
      <xdr:row>12</xdr:row>
      <xdr:rowOff>1025</xdr:rowOff>
    </xdr:to>
    <xdr:pic>
      <xdr:nvPicPr>
        <xdr:cNvPr id="3" name="Picture 2">
          <a:extLst>
            <a:ext uri="{FF2B5EF4-FFF2-40B4-BE49-F238E27FC236}">
              <a16:creationId xmlns:a16="http://schemas.microsoft.com/office/drawing/2014/main" id="{5A0FB802-E3F2-B1C2-73D7-0FF4A491AF1B}"/>
            </a:ext>
          </a:extLst>
        </xdr:cNvPr>
        <xdr:cNvPicPr>
          <a:picLocks noChangeAspect="1"/>
        </xdr:cNvPicPr>
      </xdr:nvPicPr>
      <xdr:blipFill>
        <a:blip xmlns:r="http://schemas.openxmlformats.org/officeDocument/2006/relationships" r:embed="rId1"/>
        <a:stretch>
          <a:fillRect/>
        </a:stretch>
      </xdr:blipFill>
      <xdr:spPr>
        <a:xfrm>
          <a:off x="6825615" y="616997"/>
          <a:ext cx="7169816" cy="2041503"/>
        </a:xfrm>
        <a:prstGeom prst="rect">
          <a:avLst/>
        </a:prstGeom>
        <a:solidFill>
          <a:srgbClr val="00B0F0"/>
        </a:solid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125141</xdr:colOff>
      <xdr:row>0</xdr:row>
      <xdr:rowOff>550545</xdr:rowOff>
    </xdr:from>
    <xdr:to>
      <xdr:col>16</xdr:col>
      <xdr:colOff>397551</xdr:colOff>
      <xdr:row>9</xdr:row>
      <xdr:rowOff>56773</xdr:rowOff>
    </xdr:to>
    <xdr:pic>
      <xdr:nvPicPr>
        <xdr:cNvPr id="3" name="Picture 2">
          <a:extLst>
            <a:ext uri="{FF2B5EF4-FFF2-40B4-BE49-F238E27FC236}">
              <a16:creationId xmlns:a16="http://schemas.microsoft.com/office/drawing/2014/main" id="{3F89470F-23FA-6D33-0379-216306629BE2}"/>
            </a:ext>
          </a:extLst>
        </xdr:cNvPr>
        <xdr:cNvPicPr>
          <a:picLocks noChangeAspect="1"/>
        </xdr:cNvPicPr>
      </xdr:nvPicPr>
      <xdr:blipFill>
        <a:blip xmlns:r="http://schemas.openxmlformats.org/officeDocument/2006/relationships" r:embed="rId1"/>
        <a:stretch>
          <a:fillRect/>
        </a:stretch>
      </xdr:blipFill>
      <xdr:spPr>
        <a:xfrm>
          <a:off x="6668816" y="550545"/>
          <a:ext cx="7578085" cy="3135253"/>
        </a:xfrm>
        <a:prstGeom prst="rect">
          <a:avLst/>
        </a:prstGeom>
        <a:solidFill>
          <a:srgbClr val="00B0F0"/>
        </a:solid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227771</xdr:colOff>
      <xdr:row>0</xdr:row>
      <xdr:rowOff>507311</xdr:rowOff>
    </xdr:from>
    <xdr:to>
      <xdr:col>18</xdr:col>
      <xdr:colOff>460828</xdr:colOff>
      <xdr:row>11</xdr:row>
      <xdr:rowOff>118758</xdr:rowOff>
    </xdr:to>
    <xdr:pic>
      <xdr:nvPicPr>
        <xdr:cNvPr id="3" name="Picture 2">
          <a:extLst>
            <a:ext uri="{FF2B5EF4-FFF2-40B4-BE49-F238E27FC236}">
              <a16:creationId xmlns:a16="http://schemas.microsoft.com/office/drawing/2014/main" id="{77141AC0-1DBF-422C-A900-7D481D2185B1}"/>
            </a:ext>
          </a:extLst>
        </xdr:cNvPr>
        <xdr:cNvPicPr>
          <a:picLocks noChangeAspect="1"/>
        </xdr:cNvPicPr>
      </xdr:nvPicPr>
      <xdr:blipFill>
        <a:blip xmlns:r="http://schemas.openxmlformats.org/officeDocument/2006/relationships" r:embed="rId1"/>
        <a:stretch>
          <a:fillRect/>
        </a:stretch>
      </xdr:blipFill>
      <xdr:spPr>
        <a:xfrm>
          <a:off x="8075543" y="507311"/>
          <a:ext cx="8194714" cy="2562126"/>
        </a:xfrm>
        <a:prstGeom prst="rect">
          <a:avLst/>
        </a:prstGeom>
        <a:solidFill>
          <a:srgbClr val="00B0F0"/>
        </a:solid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524177</xdr:colOff>
      <xdr:row>0</xdr:row>
      <xdr:rowOff>650261</xdr:rowOff>
    </xdr:from>
    <xdr:to>
      <xdr:col>14</xdr:col>
      <xdr:colOff>354331</xdr:colOff>
      <xdr:row>9</xdr:row>
      <xdr:rowOff>27082</xdr:rowOff>
    </xdr:to>
    <xdr:pic>
      <xdr:nvPicPr>
        <xdr:cNvPr id="2" name="Picture 1">
          <a:extLst>
            <a:ext uri="{FF2B5EF4-FFF2-40B4-BE49-F238E27FC236}">
              <a16:creationId xmlns:a16="http://schemas.microsoft.com/office/drawing/2014/main" id="{BD1463BA-8280-509A-46E2-903849372EC5}"/>
            </a:ext>
          </a:extLst>
        </xdr:cNvPr>
        <xdr:cNvPicPr>
          <a:picLocks noChangeAspect="1"/>
        </xdr:cNvPicPr>
      </xdr:nvPicPr>
      <xdr:blipFill>
        <a:blip xmlns:r="http://schemas.openxmlformats.org/officeDocument/2006/relationships" r:embed="rId1"/>
        <a:stretch>
          <a:fillRect/>
        </a:stretch>
      </xdr:blipFill>
      <xdr:spPr>
        <a:xfrm>
          <a:off x="7201202" y="650261"/>
          <a:ext cx="7617794" cy="3390656"/>
        </a:xfrm>
        <a:prstGeom prst="rect">
          <a:avLst/>
        </a:prstGeom>
        <a:solidFill>
          <a:srgbClr val="00B0F0"/>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fns.usda.gov/sfsp/2018-nutrition-guide" TargetMode="External"/><Relationship Id="rId13" Type="http://schemas.openxmlformats.org/officeDocument/2006/relationships/hyperlink" Target="https://www.fns.usda.gov/cn/school-nutrition-standards-updates" TargetMode="External"/><Relationship Id="rId3" Type="http://schemas.openxmlformats.org/officeDocument/2006/relationships/hyperlink" Target="https://www.michigan.gov/mde/0,4615,7-140-66254_50144_94242-511371--,00.html" TargetMode="External"/><Relationship Id="rId7" Type="http://schemas.openxmlformats.org/officeDocument/2006/relationships/hyperlink" Target="https://www.fns.usda.gov/cacfp/meals-and-snacks" TargetMode="External"/><Relationship Id="rId12" Type="http://schemas.openxmlformats.org/officeDocument/2006/relationships/hyperlink" Target="https://www.fns.usda.gov/nslp/program-operator/guidance-resources" TargetMode="External"/><Relationship Id="rId2" Type="http://schemas.openxmlformats.org/officeDocument/2006/relationships/hyperlink" Target="http://www.michigan.gov/mde/0,4615,7-140-43092_25656---,00.html" TargetMode="External"/><Relationship Id="rId1" Type="http://schemas.openxmlformats.org/officeDocument/2006/relationships/hyperlink" Target="http://www.michigan.gov/mde/0,1607,7-140-43092_34491---,00.html" TargetMode="External"/><Relationship Id="rId6" Type="http://schemas.openxmlformats.org/officeDocument/2006/relationships/hyperlink" Target="https://www.fns.usda.gov/usda-fis/usda-foods-available" TargetMode="External"/><Relationship Id="rId11" Type="http://schemas.openxmlformats.org/officeDocument/2006/relationships/hyperlink" Target="https://www.fns.usda.gov/cn/certification-compliance" TargetMode="External"/><Relationship Id="rId5" Type="http://schemas.openxmlformats.org/officeDocument/2006/relationships/hyperlink" Target="https://www.fns.usda.gov/cn/updated-offer-vs-serve-guidance-nslp-and-sbp-beginning-sy2015-16" TargetMode="External"/><Relationship Id="rId10" Type="http://schemas.openxmlformats.org/officeDocument/2006/relationships/hyperlink" Target="https://www.fns.usda.gov/school-meals/nutrition-standards" TargetMode="External"/><Relationship Id="rId4" Type="http://schemas.openxmlformats.org/officeDocument/2006/relationships/hyperlink" Target="https://www.michigan.gov/mde/services/food/sntp/lunch" TargetMode="External"/><Relationship Id="rId9" Type="http://schemas.openxmlformats.org/officeDocument/2006/relationships/hyperlink" Target="https://www.fns.usda.gov/tn/serving-school-meals-preschoolers" TargetMode="Externa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8" tint="0.79998168889431442"/>
    <pageSetUpPr fitToPage="1"/>
  </sheetPr>
  <dimension ref="A1:J15"/>
  <sheetViews>
    <sheetView showGridLines="0" zoomScaleNormal="100" workbookViewId="0">
      <selection activeCell="F8" sqref="F8"/>
    </sheetView>
  </sheetViews>
  <sheetFormatPr defaultRowHeight="13.2" x14ac:dyDescent="0.25"/>
  <cols>
    <col min="1" max="1" width="83.44140625" customWidth="1"/>
  </cols>
  <sheetData>
    <row r="1" spans="1:10" ht="39.6" customHeight="1" x14ac:dyDescent="0.5">
      <c r="A1" s="108" t="s">
        <v>235</v>
      </c>
    </row>
    <row r="2" spans="1:10" ht="26.25" customHeight="1" x14ac:dyDescent="0.45">
      <c r="A2" s="168" t="s">
        <v>236</v>
      </c>
      <c r="B2" s="5"/>
      <c r="C2" s="5"/>
      <c r="D2" s="5"/>
      <c r="E2" s="5"/>
      <c r="F2" s="5"/>
      <c r="G2" s="5"/>
      <c r="H2" s="5"/>
      <c r="I2" s="5"/>
    </row>
    <row r="3" spans="1:10" ht="26.25" customHeight="1" x14ac:dyDescent="0.5">
      <c r="A3" s="109"/>
      <c r="B3" s="5"/>
      <c r="C3" s="5"/>
      <c r="D3" s="5"/>
      <c r="E3" s="5"/>
      <c r="F3" s="5"/>
      <c r="G3" s="5"/>
      <c r="H3" s="5"/>
      <c r="I3" s="5"/>
    </row>
    <row r="4" spans="1:10" ht="26.25" customHeight="1" x14ac:dyDescent="0.45">
      <c r="A4" s="169" t="s">
        <v>304</v>
      </c>
      <c r="B4" s="5"/>
      <c r="C4" s="5"/>
      <c r="D4" s="5"/>
      <c r="E4" s="5"/>
      <c r="F4" s="5"/>
      <c r="G4" s="5"/>
      <c r="H4" s="5"/>
      <c r="I4" s="5"/>
    </row>
    <row r="5" spans="1:10" ht="26.25" customHeight="1" x14ac:dyDescent="0.45">
      <c r="A5" s="164" t="s">
        <v>233</v>
      </c>
      <c r="B5" s="5"/>
      <c r="C5" s="5"/>
      <c r="D5" s="5"/>
      <c r="E5" s="5"/>
      <c r="F5" s="5"/>
      <c r="G5" s="5"/>
      <c r="H5" s="5"/>
      <c r="I5" s="5"/>
    </row>
    <row r="6" spans="1:10" ht="15.6" x14ac:dyDescent="0.3">
      <c r="A6" s="165" t="s">
        <v>234</v>
      </c>
    </row>
    <row r="7" spans="1:10" ht="57.6" customHeight="1" x14ac:dyDescent="0.25">
      <c r="A7" s="166" t="s">
        <v>307</v>
      </c>
      <c r="B7" s="6"/>
      <c r="C7" s="6"/>
      <c r="D7" s="6"/>
      <c r="E7" s="6"/>
      <c r="F7" s="6"/>
      <c r="G7" s="6"/>
      <c r="H7" s="6"/>
      <c r="I7" s="6"/>
      <c r="J7" s="6"/>
    </row>
    <row r="8" spans="1:10" ht="70.95" customHeight="1" x14ac:dyDescent="0.25">
      <c r="A8" s="167" t="s">
        <v>303</v>
      </c>
      <c r="B8" s="6"/>
      <c r="C8" s="6"/>
      <c r="D8" s="6"/>
      <c r="E8" s="6"/>
      <c r="F8" s="6"/>
      <c r="G8" s="6"/>
      <c r="H8" s="6"/>
      <c r="I8" s="6"/>
      <c r="J8" s="6"/>
    </row>
    <row r="9" spans="1:10" ht="72.599999999999994" customHeight="1" x14ac:dyDescent="0.25">
      <c r="A9" s="167" t="s">
        <v>305</v>
      </c>
      <c r="B9" s="6"/>
      <c r="C9" s="6"/>
      <c r="D9" s="6"/>
      <c r="E9" s="6"/>
      <c r="F9" s="6"/>
      <c r="G9" s="6"/>
      <c r="H9" s="6"/>
      <c r="I9" s="6"/>
      <c r="J9" s="6"/>
    </row>
    <row r="10" spans="1:10" ht="15.6" x14ac:dyDescent="0.3">
      <c r="A10" s="3"/>
      <c r="B10" s="6"/>
      <c r="C10" s="6"/>
      <c r="D10" s="6"/>
      <c r="E10" s="6"/>
      <c r="F10" s="6"/>
      <c r="G10" s="6"/>
      <c r="H10" s="6"/>
      <c r="I10" s="6"/>
      <c r="J10" s="6"/>
    </row>
    <row r="11" spans="1:10" ht="16.95" customHeight="1" x14ac:dyDescent="0.3">
      <c r="A11" s="115" t="s">
        <v>306</v>
      </c>
      <c r="B11" s="6"/>
      <c r="C11" s="6"/>
      <c r="D11" s="6"/>
      <c r="E11" s="6"/>
      <c r="F11" s="6"/>
      <c r="G11" s="6"/>
      <c r="H11" s="6"/>
      <c r="I11" s="6"/>
      <c r="J11" s="6"/>
    </row>
    <row r="12" spans="1:10" ht="16.95" customHeight="1" x14ac:dyDescent="0.3">
      <c r="A12" s="116" t="s">
        <v>191</v>
      </c>
      <c r="B12" s="6"/>
      <c r="C12" s="6"/>
      <c r="D12" s="6"/>
      <c r="E12" s="6"/>
      <c r="F12" s="6"/>
      <c r="G12" s="6"/>
      <c r="H12" s="6"/>
      <c r="I12" s="6"/>
      <c r="J12" s="6"/>
    </row>
    <row r="13" spans="1:10" ht="16.95" customHeight="1" x14ac:dyDescent="0.3">
      <c r="A13" s="3" t="s">
        <v>281</v>
      </c>
      <c r="B13" s="6"/>
      <c r="C13" s="6"/>
      <c r="D13" s="6"/>
      <c r="E13" s="6"/>
      <c r="F13" s="6"/>
      <c r="G13" s="6"/>
      <c r="H13" s="6"/>
      <c r="I13" s="6"/>
      <c r="J13" s="6"/>
    </row>
    <row r="14" spans="1:10" ht="15.6" x14ac:dyDescent="0.3">
      <c r="A14" s="3"/>
      <c r="B14" s="6"/>
      <c r="C14" s="6"/>
      <c r="D14" s="6"/>
      <c r="E14" s="6"/>
      <c r="F14" s="6"/>
      <c r="G14" s="6"/>
      <c r="H14" s="6"/>
      <c r="I14" s="6"/>
      <c r="J14" s="6"/>
    </row>
    <row r="15" spans="1:10" ht="15.6" x14ac:dyDescent="0.3">
      <c r="A15" s="3"/>
      <c r="B15" s="6"/>
      <c r="C15" s="6"/>
      <c r="D15" s="6"/>
      <c r="E15" s="6"/>
      <c r="F15" s="6"/>
      <c r="G15" s="6"/>
      <c r="H15" s="6"/>
      <c r="I15" s="6"/>
      <c r="J15" s="6"/>
    </row>
  </sheetData>
  <phoneticPr fontId="0" type="noConversion"/>
  <printOptions horizontalCentered="1"/>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FD65-1C21-4113-9D37-4D86DDF81098}">
  <sheetPr>
    <tabColor theme="8" tint="0.79998168889431442"/>
    <pageSetUpPr fitToPage="1"/>
  </sheetPr>
  <dimension ref="A1:K33"/>
  <sheetViews>
    <sheetView showGridLines="0" zoomScaleNormal="100" workbookViewId="0">
      <selection sqref="A1:B1"/>
    </sheetView>
  </sheetViews>
  <sheetFormatPr defaultColWidth="8.88671875" defaultRowHeight="13.2" x14ac:dyDescent="0.25"/>
  <cols>
    <col min="1" max="1" width="5.109375" style="8" customWidth="1"/>
    <col min="2" max="2" width="136.109375" style="8" customWidth="1"/>
    <col min="3" max="16384" width="8.88671875" style="8"/>
  </cols>
  <sheetData>
    <row r="1" spans="1:11" ht="37.200000000000003" customHeight="1" x14ac:dyDescent="0.25">
      <c r="A1" s="496" t="s">
        <v>177</v>
      </c>
      <c r="B1" s="496"/>
    </row>
    <row r="2" spans="1:11" ht="15.6" customHeight="1" x14ac:dyDescent="0.25">
      <c r="A2" s="497" t="s">
        <v>297</v>
      </c>
      <c r="B2" s="497"/>
      <c r="D2" s="487" t="s">
        <v>477</v>
      </c>
      <c r="E2" s="488"/>
      <c r="F2" s="488"/>
      <c r="G2" s="488"/>
      <c r="H2" s="488"/>
      <c r="I2" s="488"/>
      <c r="J2" s="488"/>
      <c r="K2" s="489"/>
    </row>
    <row r="3" spans="1:11" ht="9.6" customHeight="1" x14ac:dyDescent="0.25">
      <c r="D3" s="490"/>
      <c r="E3" s="491"/>
      <c r="F3" s="491"/>
      <c r="G3" s="491"/>
      <c r="H3" s="491"/>
      <c r="I3" s="491"/>
      <c r="J3" s="491"/>
      <c r="K3" s="492"/>
    </row>
    <row r="4" spans="1:11" ht="15.6" customHeight="1" x14ac:dyDescent="0.25">
      <c r="A4" s="8" t="s">
        <v>308</v>
      </c>
      <c r="D4" s="490"/>
      <c r="E4" s="491"/>
      <c r="F4" s="491"/>
      <c r="G4" s="491"/>
      <c r="H4" s="491"/>
      <c r="I4" s="491"/>
      <c r="J4" s="491"/>
      <c r="K4" s="492"/>
    </row>
    <row r="5" spans="1:11" ht="13.2" customHeight="1" x14ac:dyDescent="0.25">
      <c r="A5" s="8" t="s">
        <v>309</v>
      </c>
      <c r="D5" s="490"/>
      <c r="E5" s="491"/>
      <c r="F5" s="491"/>
      <c r="G5" s="491"/>
      <c r="H5" s="491"/>
      <c r="I5" s="491"/>
      <c r="J5" s="491"/>
      <c r="K5" s="492"/>
    </row>
    <row r="6" spans="1:11" ht="13.2" customHeight="1" x14ac:dyDescent="0.25">
      <c r="A6" s="8" t="s">
        <v>310</v>
      </c>
      <c r="D6" s="490"/>
      <c r="E6" s="491"/>
      <c r="F6" s="491"/>
      <c r="G6" s="491"/>
      <c r="H6" s="491"/>
      <c r="I6" s="491"/>
      <c r="J6" s="491"/>
      <c r="K6" s="492"/>
    </row>
    <row r="7" spans="1:11" ht="13.2" customHeight="1" x14ac:dyDescent="0.25">
      <c r="A7" s="8" t="s">
        <v>311</v>
      </c>
      <c r="D7" s="490"/>
      <c r="E7" s="491"/>
      <c r="F7" s="491"/>
      <c r="G7" s="491"/>
      <c r="H7" s="491"/>
      <c r="I7" s="491"/>
      <c r="J7" s="491"/>
      <c r="K7" s="492"/>
    </row>
    <row r="8" spans="1:11" ht="13.2" customHeight="1" x14ac:dyDescent="0.25">
      <c r="A8" s="8" t="s">
        <v>313</v>
      </c>
      <c r="D8" s="490"/>
      <c r="E8" s="491"/>
      <c r="F8" s="491"/>
      <c r="G8" s="491"/>
      <c r="H8" s="491"/>
      <c r="I8" s="491"/>
      <c r="J8" s="491"/>
      <c r="K8" s="492"/>
    </row>
    <row r="9" spans="1:11" ht="13.2" customHeight="1" x14ac:dyDescent="0.25">
      <c r="A9" s="8" t="s">
        <v>312</v>
      </c>
      <c r="D9" s="490"/>
      <c r="E9" s="491"/>
      <c r="F9" s="491"/>
      <c r="G9" s="491"/>
      <c r="H9" s="491"/>
      <c r="I9" s="491"/>
      <c r="J9" s="491"/>
      <c r="K9" s="492"/>
    </row>
    <row r="10" spans="1:11" ht="13.2" customHeight="1" x14ac:dyDescent="0.25">
      <c r="D10" s="490"/>
      <c r="E10" s="491"/>
      <c r="F10" s="491"/>
      <c r="G10" s="491"/>
      <c r="H10" s="491"/>
      <c r="I10" s="491"/>
      <c r="J10" s="491"/>
      <c r="K10" s="492"/>
    </row>
    <row r="11" spans="1:11" ht="13.2" customHeight="1" x14ac:dyDescent="0.25">
      <c r="A11" s="497" t="s">
        <v>155</v>
      </c>
      <c r="B11" s="497"/>
      <c r="D11" s="490"/>
      <c r="E11" s="491"/>
      <c r="F11" s="491"/>
      <c r="G11" s="491"/>
      <c r="H11" s="491"/>
      <c r="I11" s="491"/>
      <c r="J11" s="491"/>
      <c r="K11" s="492"/>
    </row>
    <row r="12" spans="1:11" ht="9.6" customHeight="1" x14ac:dyDescent="0.25">
      <c r="A12" s="73"/>
      <c r="D12" s="490"/>
      <c r="E12" s="491"/>
      <c r="F12" s="491"/>
      <c r="G12" s="491"/>
      <c r="H12" s="491"/>
      <c r="I12" s="491"/>
      <c r="J12" s="491"/>
      <c r="K12" s="492"/>
    </row>
    <row r="13" spans="1:11" ht="13.2" customHeight="1" x14ac:dyDescent="0.25">
      <c r="A13" s="8" t="s">
        <v>215</v>
      </c>
      <c r="D13" s="490"/>
      <c r="E13" s="491"/>
      <c r="F13" s="491"/>
      <c r="G13" s="491"/>
      <c r="H13" s="491"/>
      <c r="I13" s="491"/>
      <c r="J13" s="491"/>
      <c r="K13" s="492"/>
    </row>
    <row r="14" spans="1:11" ht="13.2" customHeight="1" x14ac:dyDescent="0.25">
      <c r="B14" s="8" t="s">
        <v>216</v>
      </c>
      <c r="D14" s="490"/>
      <c r="E14" s="491"/>
      <c r="F14" s="491"/>
      <c r="G14" s="491"/>
      <c r="H14" s="491"/>
      <c r="I14" s="491"/>
      <c r="J14" s="491"/>
      <c r="K14" s="492"/>
    </row>
    <row r="15" spans="1:11" ht="13.2" customHeight="1" x14ac:dyDescent="0.25">
      <c r="B15" s="8" t="s">
        <v>217</v>
      </c>
      <c r="D15" s="490"/>
      <c r="E15" s="491"/>
      <c r="F15" s="491"/>
      <c r="G15" s="491"/>
      <c r="H15" s="491"/>
      <c r="I15" s="491"/>
      <c r="J15" s="491"/>
      <c r="K15" s="492"/>
    </row>
    <row r="16" spans="1:11" ht="13.2" customHeight="1" x14ac:dyDescent="0.25">
      <c r="B16" s="8" t="s">
        <v>0</v>
      </c>
      <c r="D16" s="490"/>
      <c r="E16" s="491"/>
      <c r="F16" s="491"/>
      <c r="G16" s="491"/>
      <c r="H16" s="491"/>
      <c r="I16" s="491"/>
      <c r="J16" s="491"/>
      <c r="K16" s="492"/>
    </row>
    <row r="17" spans="1:11" ht="13.2" customHeight="1" x14ac:dyDescent="0.25">
      <c r="A17" s="8" t="s">
        <v>214</v>
      </c>
      <c r="D17" s="490"/>
      <c r="E17" s="491"/>
      <c r="F17" s="491"/>
      <c r="G17" s="491"/>
      <c r="H17" s="491"/>
      <c r="I17" s="491"/>
      <c r="J17" s="491"/>
      <c r="K17" s="492"/>
    </row>
    <row r="18" spans="1:11" ht="13.2" customHeight="1" x14ac:dyDescent="0.25">
      <c r="A18" s="8" t="s">
        <v>298</v>
      </c>
      <c r="D18" s="490"/>
      <c r="E18" s="491"/>
      <c r="F18" s="491"/>
      <c r="G18" s="491"/>
      <c r="H18" s="491"/>
      <c r="I18" s="491"/>
      <c r="J18" s="491"/>
      <c r="K18" s="492"/>
    </row>
    <row r="19" spans="1:11" ht="13.2" customHeight="1" x14ac:dyDescent="0.25">
      <c r="A19" s="8" t="s">
        <v>218</v>
      </c>
      <c r="D19" s="490"/>
      <c r="E19" s="491"/>
      <c r="F19" s="491"/>
      <c r="G19" s="491"/>
      <c r="H19" s="491"/>
      <c r="I19" s="491"/>
      <c r="J19" s="491"/>
      <c r="K19" s="492"/>
    </row>
    <row r="20" spans="1:11" ht="13.2" customHeight="1" x14ac:dyDescent="0.25">
      <c r="A20" s="8" t="s">
        <v>219</v>
      </c>
      <c r="D20" s="490"/>
      <c r="E20" s="491"/>
      <c r="F20" s="491"/>
      <c r="G20" s="491"/>
      <c r="H20" s="491"/>
      <c r="I20" s="491"/>
      <c r="J20" s="491"/>
      <c r="K20" s="492"/>
    </row>
    <row r="21" spans="1:11" ht="13.2" customHeight="1" x14ac:dyDescent="0.25">
      <c r="A21" s="8" t="s">
        <v>299</v>
      </c>
      <c r="D21" s="490"/>
      <c r="E21" s="491"/>
      <c r="F21" s="491"/>
      <c r="G21" s="491"/>
      <c r="H21" s="491"/>
      <c r="I21" s="491"/>
      <c r="J21" s="491"/>
      <c r="K21" s="492"/>
    </row>
    <row r="22" spans="1:11" ht="13.2" customHeight="1" x14ac:dyDescent="0.25">
      <c r="A22" s="141"/>
      <c r="B22" s="142"/>
      <c r="D22" s="490"/>
      <c r="E22" s="491"/>
      <c r="F22" s="491"/>
      <c r="G22" s="491"/>
      <c r="H22" s="491"/>
      <c r="I22" s="491"/>
      <c r="J22" s="491"/>
      <c r="K22" s="492"/>
    </row>
    <row r="23" spans="1:11" ht="13.2" customHeight="1" x14ac:dyDescent="0.25">
      <c r="A23" s="497" t="s">
        <v>154</v>
      </c>
      <c r="B23" s="497"/>
      <c r="D23" s="490"/>
      <c r="E23" s="491"/>
      <c r="F23" s="491"/>
      <c r="G23" s="491"/>
      <c r="H23" s="491"/>
      <c r="I23" s="491"/>
      <c r="J23" s="491"/>
      <c r="K23" s="492"/>
    </row>
    <row r="24" spans="1:11" ht="9.6" customHeight="1" x14ac:dyDescent="0.25">
      <c r="D24" s="490"/>
      <c r="E24" s="491"/>
      <c r="F24" s="491"/>
      <c r="G24" s="491"/>
      <c r="H24" s="491"/>
      <c r="I24" s="491"/>
      <c r="J24" s="491"/>
      <c r="K24" s="492"/>
    </row>
    <row r="25" spans="1:11" ht="13.2" customHeight="1" x14ac:dyDescent="0.25">
      <c r="A25" s="8" t="s">
        <v>156</v>
      </c>
      <c r="D25" s="490"/>
      <c r="E25" s="491"/>
      <c r="F25" s="491"/>
      <c r="G25" s="491"/>
      <c r="H25" s="491"/>
      <c r="I25" s="491"/>
      <c r="J25" s="491"/>
      <c r="K25" s="492"/>
    </row>
    <row r="26" spans="1:11" ht="13.2" customHeight="1" x14ac:dyDescent="0.25">
      <c r="D26" s="490"/>
      <c r="E26" s="491"/>
      <c r="F26" s="491"/>
      <c r="G26" s="491"/>
      <c r="H26" s="491"/>
      <c r="I26" s="491"/>
      <c r="J26" s="491"/>
      <c r="K26" s="492"/>
    </row>
    <row r="27" spans="1:11" ht="42" customHeight="1" x14ac:dyDescent="0.25">
      <c r="A27" s="498" t="s">
        <v>339</v>
      </c>
      <c r="B27" s="498"/>
      <c r="D27" s="490"/>
      <c r="E27" s="491"/>
      <c r="F27" s="491"/>
      <c r="G27" s="491"/>
      <c r="H27" s="491"/>
      <c r="I27" s="491"/>
      <c r="J27" s="491"/>
      <c r="K27" s="492"/>
    </row>
    <row r="28" spans="1:11" ht="13.2" customHeight="1" x14ac:dyDescent="0.25">
      <c r="D28" s="490"/>
      <c r="E28" s="491"/>
      <c r="F28" s="491"/>
      <c r="G28" s="491"/>
      <c r="H28" s="491"/>
      <c r="I28" s="491"/>
      <c r="J28" s="491"/>
      <c r="K28" s="492"/>
    </row>
    <row r="29" spans="1:11" ht="13.2" customHeight="1" x14ac:dyDescent="0.25">
      <c r="D29" s="490"/>
      <c r="E29" s="491"/>
      <c r="F29" s="491"/>
      <c r="G29" s="491"/>
      <c r="H29" s="491"/>
      <c r="I29" s="491"/>
      <c r="J29" s="491"/>
      <c r="K29" s="492"/>
    </row>
    <row r="30" spans="1:11" ht="13.2" customHeight="1" x14ac:dyDescent="0.25">
      <c r="D30" s="490"/>
      <c r="E30" s="491"/>
      <c r="F30" s="491"/>
      <c r="G30" s="491"/>
      <c r="H30" s="491"/>
      <c r="I30" s="491"/>
      <c r="J30" s="491"/>
      <c r="K30" s="492"/>
    </row>
    <row r="31" spans="1:11" ht="13.2" customHeight="1" x14ac:dyDescent="0.25">
      <c r="D31" s="490"/>
      <c r="E31" s="491"/>
      <c r="F31" s="491"/>
      <c r="G31" s="491"/>
      <c r="H31" s="491"/>
      <c r="I31" s="491"/>
      <c r="J31" s="491"/>
      <c r="K31" s="492"/>
    </row>
    <row r="32" spans="1:11" x14ac:dyDescent="0.25">
      <c r="D32" s="490"/>
      <c r="E32" s="491"/>
      <c r="F32" s="491"/>
      <c r="G32" s="491"/>
      <c r="H32" s="491"/>
      <c r="I32" s="491"/>
      <c r="J32" s="491"/>
      <c r="K32" s="492"/>
    </row>
    <row r="33" spans="4:11" x14ac:dyDescent="0.25">
      <c r="D33" s="493"/>
      <c r="E33" s="494"/>
      <c r="F33" s="494"/>
      <c r="G33" s="494"/>
      <c r="H33" s="494"/>
      <c r="I33" s="494"/>
      <c r="J33" s="494"/>
      <c r="K33" s="495"/>
    </row>
  </sheetData>
  <mergeCells count="6">
    <mergeCell ref="D2:K33"/>
    <mergeCell ref="A1:B1"/>
    <mergeCell ref="A2:B2"/>
    <mergeCell ref="A11:B11"/>
    <mergeCell ref="A23:B23"/>
    <mergeCell ref="A27:B27"/>
  </mergeCells>
  <pageMargins left="0.7" right="0.7" top="0.75" bottom="0.75" header="0.3" footer="0.3"/>
  <pageSetup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79BD2-390E-42D5-B0C4-563C1888D1B8}">
  <sheetPr codeName="Sheet4">
    <tabColor theme="8" tint="0.79998168889431442"/>
    <pageSetUpPr fitToPage="1"/>
  </sheetPr>
  <dimension ref="A1:S35"/>
  <sheetViews>
    <sheetView showGridLines="0" workbookViewId="0">
      <selection activeCell="K14" sqref="K14"/>
    </sheetView>
  </sheetViews>
  <sheetFormatPr defaultColWidth="8.88671875" defaultRowHeight="13.8" x14ac:dyDescent="0.25"/>
  <cols>
    <col min="1" max="1" width="4.33203125" style="34" customWidth="1"/>
    <col min="2" max="2" width="82.88671875" style="35" customWidth="1"/>
    <col min="3" max="16384" width="8.88671875" style="35"/>
  </cols>
  <sheetData>
    <row r="1" spans="1:19" s="15" customFormat="1" ht="47.4" customHeight="1" x14ac:dyDescent="0.25">
      <c r="A1" s="499" t="s">
        <v>176</v>
      </c>
      <c r="B1" s="499"/>
    </row>
    <row r="2" spans="1:19" s="18" customFormat="1" ht="34.200000000000003" customHeight="1" x14ac:dyDescent="0.25">
      <c r="A2" s="500" t="s">
        <v>278</v>
      </c>
      <c r="B2" s="500"/>
      <c r="C2" s="17"/>
      <c r="D2" s="17"/>
      <c r="E2" s="17"/>
      <c r="R2" s="19"/>
      <c r="S2" s="19"/>
    </row>
    <row r="3" spans="1:19" s="20" customFormat="1" ht="42.6" customHeight="1" x14ac:dyDescent="0.25">
      <c r="A3" s="501"/>
      <c r="B3" s="501"/>
      <c r="R3" s="21"/>
      <c r="S3" s="21"/>
    </row>
    <row r="4" spans="1:19" s="18" customFormat="1" ht="34.200000000000003" customHeight="1" x14ac:dyDescent="0.25">
      <c r="A4" s="502" t="s">
        <v>282</v>
      </c>
      <c r="B4" s="500"/>
      <c r="C4" s="17"/>
      <c r="D4" s="17"/>
      <c r="E4" s="17"/>
      <c r="R4" s="19"/>
      <c r="S4" s="19"/>
    </row>
    <row r="5" spans="1:19" s="20" customFormat="1" ht="42.6" customHeight="1" x14ac:dyDescent="0.25">
      <c r="A5" s="501"/>
      <c r="B5" s="501"/>
      <c r="R5" s="21"/>
      <c r="S5" s="21"/>
    </row>
    <row r="6" spans="1:19" s="20" customFormat="1" ht="15" x14ac:dyDescent="0.25">
      <c r="A6" s="22"/>
      <c r="B6" s="23"/>
      <c r="R6" s="21"/>
      <c r="S6" s="21"/>
    </row>
    <row r="7" spans="1:19" s="20" customFormat="1" ht="15" x14ac:dyDescent="0.25">
      <c r="A7" s="24" t="s">
        <v>1</v>
      </c>
      <c r="B7" s="25" t="s">
        <v>2</v>
      </c>
      <c r="R7" s="21"/>
      <c r="S7" s="21"/>
    </row>
    <row r="8" spans="1:19" s="20" customFormat="1" ht="15" x14ac:dyDescent="0.25">
      <c r="A8" s="24"/>
      <c r="B8" s="25"/>
      <c r="R8" s="21"/>
      <c r="S8" s="21"/>
    </row>
    <row r="9" spans="1:19" s="20" customFormat="1" ht="42" customHeight="1" x14ac:dyDescent="0.25">
      <c r="A9" s="24" t="s">
        <v>3</v>
      </c>
      <c r="B9" s="25" t="s">
        <v>279</v>
      </c>
      <c r="R9" s="21"/>
      <c r="S9" s="21"/>
    </row>
    <row r="10" spans="1:19" s="20" customFormat="1" ht="15" x14ac:dyDescent="0.25">
      <c r="A10" s="24"/>
      <c r="B10" s="25"/>
      <c r="R10" s="21"/>
      <c r="S10" s="21"/>
    </row>
    <row r="11" spans="1:19" s="20" customFormat="1" ht="26.4" customHeight="1" x14ac:dyDescent="0.25">
      <c r="A11" s="24" t="s">
        <v>4</v>
      </c>
      <c r="B11" s="25" t="s">
        <v>280</v>
      </c>
      <c r="R11" s="21"/>
      <c r="S11" s="21"/>
    </row>
    <row r="12" spans="1:19" s="20" customFormat="1" ht="15" x14ac:dyDescent="0.25">
      <c r="A12" s="24"/>
      <c r="B12" s="25"/>
      <c r="R12" s="21"/>
      <c r="S12" s="21"/>
    </row>
    <row r="13" spans="1:19" s="20" customFormat="1" ht="41.4" customHeight="1" x14ac:dyDescent="0.25">
      <c r="A13" s="24" t="s">
        <v>5</v>
      </c>
      <c r="B13" s="25" t="s">
        <v>6</v>
      </c>
      <c r="R13" s="21"/>
      <c r="S13" s="21"/>
    </row>
    <row r="14" spans="1:19" s="20" customFormat="1" ht="15" x14ac:dyDescent="0.25">
      <c r="A14" s="26"/>
      <c r="B14" s="25"/>
      <c r="R14" s="21"/>
      <c r="S14" s="21"/>
    </row>
    <row r="15" spans="1:19" s="296" customFormat="1" ht="28.95" customHeight="1" x14ac:dyDescent="0.25">
      <c r="A15" s="27" t="s">
        <v>7</v>
      </c>
      <c r="B15" s="28" t="s">
        <v>8</v>
      </c>
      <c r="R15" s="297"/>
      <c r="S15" s="297"/>
    </row>
    <row r="16" spans="1:19" s="111" customFormat="1" ht="25.2" customHeight="1" x14ac:dyDescent="0.25">
      <c r="A16" s="22" t="s">
        <v>9</v>
      </c>
      <c r="B16" s="110" t="s">
        <v>10</v>
      </c>
    </row>
    <row r="17" spans="1:19" s="111" customFormat="1" ht="25.2" customHeight="1" x14ac:dyDescent="0.25">
      <c r="A17" s="22" t="s">
        <v>11</v>
      </c>
      <c r="B17" s="110" t="s">
        <v>283</v>
      </c>
      <c r="D17" s="289"/>
      <c r="E17" s="289"/>
    </row>
    <row r="18" spans="1:19" s="111" customFormat="1" ht="23.4" customHeight="1" x14ac:dyDescent="0.25">
      <c r="A18" s="22" t="s">
        <v>12</v>
      </c>
      <c r="B18" s="110" t="s">
        <v>284</v>
      </c>
      <c r="D18" s="289"/>
    </row>
    <row r="19" spans="1:19" s="111" customFormat="1" ht="25.2" customHeight="1" x14ac:dyDescent="0.25">
      <c r="A19" s="22" t="s">
        <v>13</v>
      </c>
      <c r="B19" s="110" t="s">
        <v>285</v>
      </c>
      <c r="D19" s="289"/>
    </row>
    <row r="20" spans="1:19" s="111" customFormat="1" ht="25.2" customHeight="1" x14ac:dyDescent="0.25">
      <c r="A20" s="22" t="s">
        <v>14</v>
      </c>
      <c r="B20" s="110" t="s">
        <v>519</v>
      </c>
      <c r="C20" s="288"/>
      <c r="D20" s="288"/>
      <c r="E20" s="288"/>
    </row>
    <row r="21" spans="1:19" s="20" customFormat="1" ht="15" x14ac:dyDescent="0.25">
      <c r="A21" s="26"/>
      <c r="B21" s="25"/>
      <c r="R21" s="21"/>
      <c r="S21" s="21"/>
    </row>
    <row r="22" spans="1:19" s="114" customFormat="1" ht="21.6" customHeight="1" x14ac:dyDescent="0.25">
      <c r="A22" s="290" t="s">
        <v>15</v>
      </c>
      <c r="B22" s="291" t="s">
        <v>16</v>
      </c>
      <c r="C22" s="289"/>
      <c r="D22" s="289"/>
      <c r="E22" s="289"/>
      <c r="F22" s="289"/>
      <c r="G22" s="289"/>
      <c r="H22" s="289"/>
      <c r="I22" s="289"/>
      <c r="J22" s="289"/>
    </row>
    <row r="23" spans="1:19" s="114" customFormat="1" ht="24.6" customHeight="1" x14ac:dyDescent="0.25">
      <c r="A23" s="22" t="s">
        <v>9</v>
      </c>
      <c r="B23" s="113" t="s">
        <v>286</v>
      </c>
    </row>
    <row r="24" spans="1:19" s="114" customFormat="1" ht="24.6" customHeight="1" x14ac:dyDescent="0.25">
      <c r="A24" s="22" t="s">
        <v>11</v>
      </c>
      <c r="B24" s="113" t="s">
        <v>17</v>
      </c>
    </row>
    <row r="25" spans="1:19" s="20" customFormat="1" ht="15" x14ac:dyDescent="0.25">
      <c r="A25" s="26"/>
      <c r="B25" s="25"/>
      <c r="R25" s="21"/>
      <c r="S25" s="21"/>
    </row>
    <row r="26" spans="1:19" s="294" customFormat="1" ht="22.2" customHeight="1" x14ac:dyDescent="0.25">
      <c r="A26" s="290" t="s">
        <v>18</v>
      </c>
      <c r="B26" s="292" t="s">
        <v>211</v>
      </c>
      <c r="C26" s="293"/>
      <c r="D26" s="293"/>
      <c r="E26" s="293"/>
      <c r="F26" s="293"/>
      <c r="G26" s="293"/>
      <c r="H26" s="293"/>
      <c r="I26" s="293"/>
      <c r="J26" s="293"/>
      <c r="R26" s="295"/>
      <c r="S26" s="295"/>
    </row>
    <row r="27" spans="1:19" s="111" customFormat="1" ht="25.2" customHeight="1" x14ac:dyDescent="0.25">
      <c r="A27" s="22" t="s">
        <v>9</v>
      </c>
      <c r="B27" s="110" t="s">
        <v>19</v>
      </c>
    </row>
    <row r="28" spans="1:19" s="111" customFormat="1" ht="25.2" customHeight="1" x14ac:dyDescent="0.25">
      <c r="A28" s="22" t="s">
        <v>11</v>
      </c>
      <c r="B28" s="110" t="s">
        <v>20</v>
      </c>
    </row>
    <row r="29" spans="1:19" s="111" customFormat="1" ht="25.2" customHeight="1" x14ac:dyDescent="0.25">
      <c r="A29" s="22" t="s">
        <v>12</v>
      </c>
      <c r="B29" s="110" t="s">
        <v>21</v>
      </c>
    </row>
    <row r="30" spans="1:19" s="111" customFormat="1" ht="25.2" customHeight="1" x14ac:dyDescent="0.25">
      <c r="A30" s="22" t="s">
        <v>13</v>
      </c>
      <c r="B30" s="110" t="s">
        <v>22</v>
      </c>
    </row>
    <row r="31" spans="1:19" s="111" customFormat="1" ht="25.2" customHeight="1" x14ac:dyDescent="0.25">
      <c r="A31" s="22" t="s">
        <v>14</v>
      </c>
      <c r="B31" s="110" t="s">
        <v>23</v>
      </c>
      <c r="C31" s="112"/>
    </row>
    <row r="32" spans="1:19" s="111" customFormat="1" ht="27" customHeight="1" x14ac:dyDescent="0.25">
      <c r="A32" s="22" t="s">
        <v>24</v>
      </c>
      <c r="B32" s="110" t="s">
        <v>25</v>
      </c>
    </row>
    <row r="33" spans="1:19" s="20" customFormat="1" ht="15" x14ac:dyDescent="0.25">
      <c r="A33" s="16"/>
      <c r="B33" s="29"/>
      <c r="R33" s="21"/>
      <c r="S33" s="21"/>
    </row>
    <row r="34" spans="1:19" s="32" customFormat="1" ht="15.6" customHeight="1" x14ac:dyDescent="0.25">
      <c r="A34" s="30"/>
      <c r="B34" s="31"/>
    </row>
    <row r="35" spans="1:19" s="20" customFormat="1" ht="15" x14ac:dyDescent="0.25">
      <c r="A35" s="16"/>
      <c r="B35" s="33"/>
      <c r="R35" s="21"/>
      <c r="S35" s="21"/>
    </row>
  </sheetData>
  <mergeCells count="5">
    <mergeCell ref="A1:B1"/>
    <mergeCell ref="A2:B2"/>
    <mergeCell ref="A3:B3"/>
    <mergeCell ref="A4:B4"/>
    <mergeCell ref="A5:B5"/>
  </mergeCells>
  <hyperlinks>
    <hyperlink ref="B27" r:id="rId1" xr:uid="{91D0216B-2923-4A0C-9BE9-F7713623D048}"/>
    <hyperlink ref="B29" r:id="rId2" xr:uid="{89F5DB26-15ED-4B30-8110-1C3EC4C7CB1B}"/>
    <hyperlink ref="B32" r:id="rId3" xr:uid="{62E441C3-22D7-4B13-A40A-14236D8A2C16}"/>
    <hyperlink ref="B16" r:id="rId4" xr:uid="{001FBBDB-A3DF-405B-9AB9-4440EF1FF7CC}"/>
    <hyperlink ref="B24" r:id="rId5" display="2. USDA Memo SP 41-2015,  July 21, 2015 - Updated OVS Guidance (SY 2015-16)" xr:uid="{324B7F08-2C1B-4347-9A0F-8966D1B15439}"/>
    <hyperlink ref="B20" r:id="rId6" display="USDA Foods Available List for SY 2023" xr:uid="{44FA34D2-8E43-4315-97CB-98B02EF0AE15}"/>
    <hyperlink ref="B30" r:id="rId7" xr:uid="{2BB97FFE-DC8B-4A1F-95A2-C6CFC3AB5706}"/>
    <hyperlink ref="B28" r:id="rId8" xr:uid="{D2E3AD10-3F60-4C33-86C2-8373CF225E32}"/>
    <hyperlink ref="B31" r:id="rId9" xr:uid="{900F24E5-E9D6-4140-9B3E-9D1F04D29CBA}"/>
    <hyperlink ref="B17" r:id="rId10" display="https://www.fns.usda.gov/school-meals/nutrition-standards" xr:uid="{3E23217B-AA5C-45AA-BD2B-79A4E5361376}"/>
    <hyperlink ref="B18" r:id="rId11" display="https://www.fns.usda.gov/cn/certification-compliance" xr:uid="{3CED260F-5F8B-4165-8C47-70FB80624B42}"/>
    <hyperlink ref="B19" r:id="rId12" display="https://www.fns.usda.gov/nslp/program-operator/guidance-resources" xr:uid="{2237E687-16F0-440B-817E-B58304C037D7}"/>
    <hyperlink ref="B23" r:id="rId13" display="https://www.fns.usda.gov/cn/school-nutrition-standards-updates" xr:uid="{34511EEF-E44E-477B-A97E-DC33A582CFB4}"/>
  </hyperlinks>
  <printOptions horizontalCentered="1"/>
  <pageMargins left="0.7" right="0.7" top="0.75" bottom="0.75" header="0.3" footer="0.3"/>
  <pageSetup scale="96"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D267-3C47-4DAD-BCCE-426393FED3FB}">
  <sheetPr>
    <tabColor theme="0" tint="-0.14999847407452621"/>
    <pageSetUpPr fitToPage="1"/>
  </sheetPr>
  <dimension ref="A1:J101"/>
  <sheetViews>
    <sheetView showGridLines="0" topLeftCell="A58" zoomScaleNormal="100" workbookViewId="0">
      <selection activeCell="C81" sqref="C81"/>
    </sheetView>
  </sheetViews>
  <sheetFormatPr defaultRowHeight="13.2" x14ac:dyDescent="0.25"/>
  <cols>
    <col min="1" max="1" width="4.33203125" style="8" customWidth="1"/>
    <col min="2" max="2" width="3.33203125" style="8" customWidth="1"/>
    <col min="3" max="3" width="124" style="8" customWidth="1"/>
    <col min="4" max="9" width="8.88671875" style="8"/>
    <col min="10" max="10" width="8.109375" style="8" customWidth="1"/>
    <col min="11" max="16384" width="8.88671875" style="8"/>
  </cols>
  <sheetData>
    <row r="1" spans="1:10" ht="48.6" customHeight="1" x14ac:dyDescent="0.4">
      <c r="A1" s="503" t="s">
        <v>179</v>
      </c>
      <c r="B1" s="496"/>
      <c r="C1" s="496"/>
      <c r="D1" s="348"/>
      <c r="E1" s="348"/>
      <c r="F1" s="348"/>
      <c r="G1" s="348"/>
      <c r="H1" s="348"/>
      <c r="I1" s="348"/>
      <c r="J1" s="348"/>
    </row>
    <row r="2" spans="1:10" ht="12.75" customHeight="1" x14ac:dyDescent="0.25">
      <c r="A2" s="73" t="s">
        <v>340</v>
      </c>
    </row>
    <row r="3" spans="1:10" x14ac:dyDescent="0.25">
      <c r="B3" s="8" t="s">
        <v>325</v>
      </c>
    </row>
    <row r="4" spans="1:10" x14ac:dyDescent="0.25">
      <c r="B4" s="8" t="s">
        <v>323</v>
      </c>
    </row>
    <row r="5" spans="1:10" x14ac:dyDescent="0.25">
      <c r="B5" s="8" t="s">
        <v>324</v>
      </c>
    </row>
    <row r="6" spans="1:10" x14ac:dyDescent="0.25">
      <c r="B6" s="8" t="s">
        <v>490</v>
      </c>
    </row>
    <row r="7" spans="1:10" x14ac:dyDescent="0.25">
      <c r="B7" s="8" t="s">
        <v>40</v>
      </c>
    </row>
    <row r="9" spans="1:10" x14ac:dyDescent="0.25">
      <c r="A9" s="73" t="s">
        <v>315</v>
      </c>
    </row>
    <row r="10" spans="1:10" ht="13.2" customHeight="1" x14ac:dyDescent="0.25">
      <c r="B10" s="8" t="s">
        <v>62</v>
      </c>
    </row>
    <row r="11" spans="1:10" x14ac:dyDescent="0.25">
      <c r="B11" s="8" t="s">
        <v>326</v>
      </c>
    </row>
    <row r="12" spans="1:10" ht="13.2" customHeight="1" x14ac:dyDescent="0.25">
      <c r="B12" s="8" t="s">
        <v>314</v>
      </c>
    </row>
    <row r="13" spans="1:10" ht="13.2" customHeight="1" x14ac:dyDescent="0.25">
      <c r="B13" s="8" t="s">
        <v>331</v>
      </c>
    </row>
    <row r="14" spans="1:10" x14ac:dyDescent="0.25">
      <c r="B14" s="8" t="s">
        <v>63</v>
      </c>
    </row>
    <row r="15" spans="1:10" x14ac:dyDescent="0.25">
      <c r="B15" s="337"/>
      <c r="C15" s="337"/>
    </row>
    <row r="16" spans="1:10" x14ac:dyDescent="0.25">
      <c r="A16" s="73" t="s">
        <v>29</v>
      </c>
    </row>
    <row r="17" spans="1:2" x14ac:dyDescent="0.25">
      <c r="B17" s="8" t="s">
        <v>31</v>
      </c>
    </row>
    <row r="18" spans="1:2" x14ac:dyDescent="0.25">
      <c r="B18" s="8" t="s">
        <v>32</v>
      </c>
    </row>
    <row r="19" spans="1:2" x14ac:dyDescent="0.25">
      <c r="B19" s="8" t="s">
        <v>34</v>
      </c>
    </row>
    <row r="20" spans="1:2" x14ac:dyDescent="0.25">
      <c r="B20" s="8" t="s">
        <v>35</v>
      </c>
    </row>
    <row r="21" spans="1:2" x14ac:dyDescent="0.25">
      <c r="B21" s="8" t="s">
        <v>30</v>
      </c>
    </row>
    <row r="22" spans="1:2" x14ac:dyDescent="0.25">
      <c r="B22" s="8" t="s">
        <v>33</v>
      </c>
    </row>
    <row r="23" spans="1:2" x14ac:dyDescent="0.25">
      <c r="B23" s="73"/>
    </row>
    <row r="24" spans="1:2" x14ac:dyDescent="0.25">
      <c r="A24" s="73" t="s">
        <v>319</v>
      </c>
    </row>
    <row r="25" spans="1:2" x14ac:dyDescent="0.25">
      <c r="B25" s="8" t="s">
        <v>42</v>
      </c>
    </row>
    <row r="26" spans="1:2" x14ac:dyDescent="0.25">
      <c r="B26" s="8" t="s">
        <v>28</v>
      </c>
    </row>
    <row r="27" spans="1:2" x14ac:dyDescent="0.25">
      <c r="B27" s="8" t="s">
        <v>41</v>
      </c>
    </row>
    <row r="28" spans="1:2" x14ac:dyDescent="0.25">
      <c r="B28" s="8" t="s">
        <v>44</v>
      </c>
    </row>
    <row r="29" spans="1:2" x14ac:dyDescent="0.25">
      <c r="B29" s="8" t="s">
        <v>334</v>
      </c>
    </row>
    <row r="30" spans="1:2" x14ac:dyDescent="0.25">
      <c r="B30" s="8" t="s">
        <v>43</v>
      </c>
    </row>
    <row r="31" spans="1:2" x14ac:dyDescent="0.25">
      <c r="B31" s="8" t="s">
        <v>318</v>
      </c>
    </row>
    <row r="32" spans="1:2" x14ac:dyDescent="0.25">
      <c r="B32" s="8" t="s">
        <v>333</v>
      </c>
    </row>
    <row r="33" spans="1:2" x14ac:dyDescent="0.25">
      <c r="B33" s="73"/>
    </row>
    <row r="34" spans="1:2" x14ac:dyDescent="0.25">
      <c r="A34" s="73" t="s">
        <v>49</v>
      </c>
    </row>
    <row r="35" spans="1:2" x14ac:dyDescent="0.25">
      <c r="B35" s="8" t="s">
        <v>329</v>
      </c>
    </row>
    <row r="36" spans="1:2" x14ac:dyDescent="0.25">
      <c r="B36" s="8" t="s">
        <v>335</v>
      </c>
    </row>
    <row r="37" spans="1:2" x14ac:dyDescent="0.25">
      <c r="B37" s="8" t="s">
        <v>52</v>
      </c>
    </row>
    <row r="38" spans="1:2" x14ac:dyDescent="0.25">
      <c r="B38" s="8" t="s">
        <v>50</v>
      </c>
    </row>
    <row r="39" spans="1:2" x14ac:dyDescent="0.25">
      <c r="B39" s="8" t="s">
        <v>51</v>
      </c>
    </row>
    <row r="40" spans="1:2" x14ac:dyDescent="0.25">
      <c r="B40" s="73"/>
    </row>
    <row r="41" spans="1:2" x14ac:dyDescent="0.25">
      <c r="A41" s="73" t="s">
        <v>53</v>
      </c>
    </row>
    <row r="42" spans="1:2" x14ac:dyDescent="0.25">
      <c r="B42" s="8" t="s">
        <v>54</v>
      </c>
    </row>
    <row r="43" spans="1:2" x14ac:dyDescent="0.25">
      <c r="B43" s="8" t="s">
        <v>55</v>
      </c>
    </row>
    <row r="45" spans="1:2" x14ac:dyDescent="0.25">
      <c r="A45" s="73" t="s">
        <v>58</v>
      </c>
    </row>
    <row r="46" spans="1:2" x14ac:dyDescent="0.25">
      <c r="B46" s="8" t="s">
        <v>60</v>
      </c>
    </row>
    <row r="47" spans="1:2" x14ac:dyDescent="0.25">
      <c r="B47" s="8" t="s">
        <v>336</v>
      </c>
    </row>
    <row r="48" spans="1:2" x14ac:dyDescent="0.25">
      <c r="B48" s="8" t="s">
        <v>61</v>
      </c>
    </row>
    <row r="49" spans="1:2" x14ac:dyDescent="0.25">
      <c r="B49" s="8" t="s">
        <v>59</v>
      </c>
    </row>
    <row r="51" spans="1:2" x14ac:dyDescent="0.25">
      <c r="A51" s="73" t="s">
        <v>317</v>
      </c>
    </row>
    <row r="52" spans="1:2" x14ac:dyDescent="0.25">
      <c r="B52" s="8" t="s">
        <v>46</v>
      </c>
    </row>
    <row r="53" spans="1:2" x14ac:dyDescent="0.25">
      <c r="B53" s="8" t="s">
        <v>45</v>
      </c>
    </row>
    <row r="54" spans="1:2" x14ac:dyDescent="0.25">
      <c r="B54" s="8" t="s">
        <v>316</v>
      </c>
    </row>
    <row r="55" spans="1:2" x14ac:dyDescent="0.25">
      <c r="B55" s="8" t="s">
        <v>48</v>
      </c>
    </row>
    <row r="56" spans="1:2" x14ac:dyDescent="0.25">
      <c r="B56" s="8" t="s">
        <v>47</v>
      </c>
    </row>
    <row r="57" spans="1:2" x14ac:dyDescent="0.25">
      <c r="B57" s="73"/>
    </row>
    <row r="58" spans="1:2" x14ac:dyDescent="0.25">
      <c r="A58" s="73" t="s">
        <v>328</v>
      </c>
    </row>
    <row r="59" spans="1:2" x14ac:dyDescent="0.25">
      <c r="B59" s="8" t="s">
        <v>57</v>
      </c>
    </row>
    <row r="60" spans="1:2" x14ac:dyDescent="0.25">
      <c r="B60" s="8" t="s">
        <v>56</v>
      </c>
    </row>
    <row r="61" spans="1:2" x14ac:dyDescent="0.25">
      <c r="B61" s="8" t="s">
        <v>327</v>
      </c>
    </row>
    <row r="62" spans="1:2" x14ac:dyDescent="0.25">
      <c r="B62" s="8" t="s">
        <v>338</v>
      </c>
    </row>
    <row r="63" spans="1:2" x14ac:dyDescent="0.25">
      <c r="B63" s="8" t="s">
        <v>330</v>
      </c>
    </row>
    <row r="64" spans="1:2" x14ac:dyDescent="0.25">
      <c r="B64" s="73"/>
    </row>
    <row r="65" spans="1:2" x14ac:dyDescent="0.25">
      <c r="A65" s="73" t="s">
        <v>492</v>
      </c>
    </row>
    <row r="66" spans="1:2" x14ac:dyDescent="0.25">
      <c r="B66" s="8" t="s">
        <v>493</v>
      </c>
    </row>
    <row r="67" spans="1:2" x14ac:dyDescent="0.25">
      <c r="B67" s="8" t="s">
        <v>495</v>
      </c>
    </row>
    <row r="68" spans="1:2" x14ac:dyDescent="0.25">
      <c r="B68" s="8" t="s">
        <v>494</v>
      </c>
    </row>
    <row r="69" spans="1:2" x14ac:dyDescent="0.25">
      <c r="B69" s="8" t="s">
        <v>491</v>
      </c>
    </row>
    <row r="70" spans="1:2" x14ac:dyDescent="0.25">
      <c r="B70" s="8" t="s">
        <v>496</v>
      </c>
    </row>
    <row r="72" spans="1:2" x14ac:dyDescent="0.25">
      <c r="A72" s="73" t="s">
        <v>503</v>
      </c>
    </row>
    <row r="73" spans="1:2" x14ac:dyDescent="0.25">
      <c r="B73" s="8" t="s">
        <v>38</v>
      </c>
    </row>
    <row r="74" spans="1:2" x14ac:dyDescent="0.25">
      <c r="B74" s="8" t="s">
        <v>37</v>
      </c>
    </row>
    <row r="75" spans="1:2" x14ac:dyDescent="0.25">
      <c r="B75" s="8" t="s">
        <v>39</v>
      </c>
    </row>
    <row r="76" spans="1:2" x14ac:dyDescent="0.25">
      <c r="B76" s="8" t="s">
        <v>36</v>
      </c>
    </row>
    <row r="77" spans="1:2" x14ac:dyDescent="0.25">
      <c r="B77" s="8" t="s">
        <v>472</v>
      </c>
    </row>
    <row r="79" spans="1:2" x14ac:dyDescent="0.25">
      <c r="A79" s="73" t="s">
        <v>513</v>
      </c>
    </row>
    <row r="80" spans="1:2" x14ac:dyDescent="0.25">
      <c r="B80" s="8" t="s">
        <v>515</v>
      </c>
    </row>
    <row r="82" spans="1:2" x14ac:dyDescent="0.25">
      <c r="A82" s="73" t="s">
        <v>332</v>
      </c>
    </row>
    <row r="83" spans="1:2" x14ac:dyDescent="0.25">
      <c r="B83" s="8" t="s">
        <v>26</v>
      </c>
    </row>
    <row r="84" spans="1:2" x14ac:dyDescent="0.25">
      <c r="B84" s="8" t="s">
        <v>337</v>
      </c>
    </row>
    <row r="85" spans="1:2" x14ac:dyDescent="0.25">
      <c r="B85" s="8" t="s">
        <v>27</v>
      </c>
    </row>
    <row r="86" spans="1:2" x14ac:dyDescent="0.25">
      <c r="B86" s="8" t="s">
        <v>28</v>
      </c>
    </row>
    <row r="87" spans="1:2" x14ac:dyDescent="0.25">
      <c r="B87" s="8" t="s">
        <v>320</v>
      </c>
    </row>
    <row r="88" spans="1:2" x14ac:dyDescent="0.25">
      <c r="B88" s="8" t="s">
        <v>318</v>
      </c>
    </row>
    <row r="89" spans="1:2" x14ac:dyDescent="0.25">
      <c r="B89" s="8" t="s">
        <v>322</v>
      </c>
    </row>
    <row r="90" spans="1:2" x14ac:dyDescent="0.25">
      <c r="B90" s="8" t="s">
        <v>321</v>
      </c>
    </row>
    <row r="91" spans="1:2" x14ac:dyDescent="0.25">
      <c r="B91" s="73"/>
    </row>
    <row r="92" spans="1:2" x14ac:dyDescent="0.25">
      <c r="A92" s="73" t="s">
        <v>497</v>
      </c>
    </row>
    <row r="93" spans="1:2" x14ac:dyDescent="0.25">
      <c r="B93" s="8" t="s">
        <v>498</v>
      </c>
    </row>
    <row r="94" spans="1:2" x14ac:dyDescent="0.25">
      <c r="B94" s="8" t="s">
        <v>499</v>
      </c>
    </row>
    <row r="95" spans="1:2" x14ac:dyDescent="0.25">
      <c r="B95" s="8" t="s">
        <v>500</v>
      </c>
    </row>
    <row r="96" spans="1:2" x14ac:dyDescent="0.25">
      <c r="B96" s="8" t="s">
        <v>501</v>
      </c>
    </row>
    <row r="97" spans="1:3" x14ac:dyDescent="0.25">
      <c r="B97" s="8" t="s">
        <v>502</v>
      </c>
    </row>
    <row r="99" spans="1:3" ht="13.2" customHeight="1" x14ac:dyDescent="0.25">
      <c r="A99" s="504" t="s">
        <v>504</v>
      </c>
      <c r="B99" s="504"/>
      <c r="C99" s="504"/>
    </row>
    <row r="100" spans="1:3" x14ac:dyDescent="0.25">
      <c r="A100" s="504"/>
      <c r="B100" s="504"/>
      <c r="C100" s="504"/>
    </row>
    <row r="101" spans="1:3" x14ac:dyDescent="0.25">
      <c r="B101" s="73"/>
    </row>
  </sheetData>
  <sortState xmlns:xlrd2="http://schemas.microsoft.com/office/spreadsheetml/2017/richdata2" ref="B66:B70">
    <sortCondition ref="B66:B70"/>
  </sortState>
  <mergeCells count="2">
    <mergeCell ref="A1:C1"/>
    <mergeCell ref="A99:C100"/>
  </mergeCells>
  <printOptions horizontalCentered="1"/>
  <pageMargins left="0.75" right="0.75" top="1" bottom="1" header="0.5" footer="0.5"/>
  <pageSetup scale="50" orientation="portrait" r:id="rId1"/>
  <headerFooter alignWithMargins="0"/>
  <rowBreaks count="1" manualBreakCount="1">
    <brk id="17" max="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5DE87-BB91-4E1A-90A6-133AACB21151}">
  <sheetPr>
    <tabColor theme="0" tint="-0.14999847407452621"/>
    <pageSetUpPr fitToPage="1"/>
  </sheetPr>
  <dimension ref="A1:U43"/>
  <sheetViews>
    <sheetView showGridLines="0" zoomScale="75" workbookViewId="0">
      <selection activeCell="C32" sqref="C32"/>
    </sheetView>
  </sheetViews>
  <sheetFormatPr defaultColWidth="9.109375" defaultRowHeight="13.2" x14ac:dyDescent="0.25"/>
  <cols>
    <col min="1" max="1" width="7.109375" style="149" customWidth="1"/>
    <col min="2" max="2" width="4.88671875" style="149" customWidth="1"/>
    <col min="3" max="3" width="109.33203125" style="145" customWidth="1"/>
    <col min="4" max="9" width="10.6640625" style="150" customWidth="1"/>
    <col min="10" max="16384" width="9.109375" style="145"/>
  </cols>
  <sheetData>
    <row r="1" spans="1:21" ht="57.75" customHeight="1" x14ac:dyDescent="0.25">
      <c r="A1" s="520" t="s">
        <v>376</v>
      </c>
      <c r="B1" s="520"/>
      <c r="C1" s="520"/>
      <c r="D1" s="520"/>
      <c r="E1" s="520"/>
      <c r="F1" s="520"/>
      <c r="G1" s="520"/>
      <c r="H1" s="520"/>
      <c r="I1" s="520"/>
    </row>
    <row r="2" spans="1:21" ht="64.8" customHeight="1" x14ac:dyDescent="0.25">
      <c r="A2" s="521" t="s">
        <v>345</v>
      </c>
      <c r="B2" s="521"/>
      <c r="C2" s="522"/>
      <c r="D2" s="522"/>
      <c r="E2" s="522"/>
      <c r="F2" s="522"/>
      <c r="G2" s="522"/>
      <c r="H2" s="522"/>
      <c r="I2" s="523"/>
    </row>
    <row r="3" spans="1:21" ht="30" customHeight="1" x14ac:dyDescent="0.25">
      <c r="A3" s="524" t="s">
        <v>344</v>
      </c>
      <c r="B3" s="524"/>
      <c r="C3" s="524"/>
      <c r="D3" s="524"/>
      <c r="E3" s="524"/>
      <c r="F3" s="524"/>
      <c r="G3" s="524"/>
      <c r="H3" s="524"/>
      <c r="I3" s="524"/>
    </row>
    <row r="4" spans="1:21" ht="31.8" customHeight="1" x14ac:dyDescent="0.25">
      <c r="A4" s="525" t="s">
        <v>174</v>
      </c>
      <c r="B4" s="526"/>
      <c r="C4" s="527"/>
      <c r="D4" s="531" t="s">
        <v>64</v>
      </c>
      <c r="E4" s="531"/>
      <c r="F4" s="531"/>
      <c r="G4" s="531"/>
      <c r="H4" s="531"/>
      <c r="I4" s="531"/>
    </row>
    <row r="5" spans="1:21" ht="227.25" customHeight="1" x14ac:dyDescent="0.25">
      <c r="A5" s="528"/>
      <c r="B5" s="529"/>
      <c r="C5" s="530"/>
      <c r="D5" s="146"/>
      <c r="E5" s="146"/>
      <c r="F5" s="146"/>
      <c r="G5" s="146"/>
      <c r="H5" s="147"/>
      <c r="I5" s="147"/>
    </row>
    <row r="6" spans="1:21" ht="35.1" customHeight="1" x14ac:dyDescent="0.25">
      <c r="A6" s="517" t="s">
        <v>65</v>
      </c>
      <c r="B6" s="518"/>
      <c r="C6" s="519"/>
      <c r="D6" s="505" t="s">
        <v>66</v>
      </c>
      <c r="E6" s="506"/>
      <c r="F6" s="506"/>
      <c r="G6" s="506"/>
      <c r="H6" s="506"/>
      <c r="I6" s="507"/>
    </row>
    <row r="7" spans="1:21" ht="47.4" customHeight="1" x14ac:dyDescent="0.25">
      <c r="A7" s="509" t="s">
        <v>227</v>
      </c>
      <c r="B7" s="510"/>
      <c r="C7" s="511"/>
      <c r="D7" s="103"/>
      <c r="E7" s="103"/>
      <c r="F7" s="103"/>
      <c r="G7" s="103"/>
      <c r="H7" s="103"/>
      <c r="I7" s="103"/>
    </row>
    <row r="8" spans="1:21" ht="35.1" customHeight="1" x14ac:dyDescent="0.25">
      <c r="A8" s="512" t="s">
        <v>223</v>
      </c>
      <c r="B8" s="513"/>
      <c r="C8" s="514"/>
      <c r="D8" s="161">
        <v>0</v>
      </c>
      <c r="E8" s="161">
        <f>+E7-D7</f>
        <v>0</v>
      </c>
      <c r="F8" s="161">
        <f>+F7-D7</f>
        <v>0</v>
      </c>
      <c r="G8" s="161">
        <f>+G7-D7</f>
        <v>0</v>
      </c>
      <c r="H8" s="161">
        <f>+H7-D7</f>
        <v>0</v>
      </c>
      <c r="I8" s="161">
        <f>+I7-D7</f>
        <v>0</v>
      </c>
    </row>
    <row r="9" spans="1:21" ht="35.1" customHeight="1" x14ac:dyDescent="0.25">
      <c r="A9" s="512" t="s">
        <v>224</v>
      </c>
      <c r="B9" s="513"/>
      <c r="C9" s="514"/>
      <c r="D9" s="161">
        <v>0</v>
      </c>
      <c r="E9" s="161" t="e">
        <f>+E8/D7</f>
        <v>#DIV/0!</v>
      </c>
      <c r="F9" s="161" t="e">
        <f>+F8/D7</f>
        <v>#DIV/0!</v>
      </c>
      <c r="G9" s="161" t="e">
        <f>+G8/$D$7</f>
        <v>#DIV/0!</v>
      </c>
      <c r="H9" s="161" t="e">
        <f>+H8/$D$7</f>
        <v>#DIV/0!</v>
      </c>
      <c r="I9" s="161" t="e">
        <f>+I8/$D$7</f>
        <v>#DIV/0!</v>
      </c>
    </row>
    <row r="10" spans="1:21" ht="35.1" customHeight="1" x14ac:dyDescent="0.4">
      <c r="A10" s="512" t="s">
        <v>225</v>
      </c>
      <c r="B10" s="513"/>
      <c r="C10" s="514"/>
      <c r="D10" s="162">
        <f>ROUND(1-D9,2)</f>
        <v>1</v>
      </c>
      <c r="E10" s="163" t="e">
        <f>1-E9</f>
        <v>#DIV/0!</v>
      </c>
      <c r="F10" s="163" t="e">
        <f>1-F9</f>
        <v>#DIV/0!</v>
      </c>
      <c r="G10" s="163" t="e">
        <f>1-G9</f>
        <v>#DIV/0!</v>
      </c>
      <c r="H10" s="163" t="e">
        <f>1-H9</f>
        <v>#DIV/0!</v>
      </c>
      <c r="I10" s="163" t="e">
        <f>1-I9</f>
        <v>#DIV/0!</v>
      </c>
      <c r="K10" s="347"/>
      <c r="L10" s="347"/>
      <c r="M10" s="347"/>
      <c r="N10" s="347"/>
      <c r="O10" s="347"/>
      <c r="P10" s="347"/>
      <c r="Q10" s="347"/>
      <c r="R10" s="347"/>
      <c r="S10" s="347"/>
      <c r="T10" s="347"/>
    </row>
    <row r="11" spans="1:21" ht="35.1" customHeight="1" x14ac:dyDescent="0.25">
      <c r="A11" s="160">
        <v>51</v>
      </c>
      <c r="B11" s="513" t="s">
        <v>226</v>
      </c>
      <c r="C11" s="514"/>
      <c r="D11" s="162">
        <f>+D10*51</f>
        <v>51</v>
      </c>
      <c r="E11" s="162" t="e">
        <f>+E10*51</f>
        <v>#DIV/0!</v>
      </c>
      <c r="F11" s="162" t="e">
        <f>(F10*51)</f>
        <v>#DIV/0!</v>
      </c>
      <c r="G11" s="162" t="e">
        <f>+G10*0.51*100</f>
        <v>#DIV/0!</v>
      </c>
      <c r="H11" s="162" t="e">
        <f>+H10*0.51*100</f>
        <v>#DIV/0!</v>
      </c>
      <c r="I11" s="162" t="e">
        <f>+I10*0.51*100</f>
        <v>#DIV/0!</v>
      </c>
    </row>
    <row r="12" spans="1:21" ht="35.1" customHeight="1" x14ac:dyDescent="0.25">
      <c r="A12" s="515" t="s">
        <v>221</v>
      </c>
      <c r="B12" s="516"/>
      <c r="C12" s="151" t="s">
        <v>67</v>
      </c>
      <c r="D12" s="505" t="s">
        <v>68</v>
      </c>
      <c r="E12" s="506"/>
      <c r="F12" s="506"/>
      <c r="G12" s="506"/>
      <c r="H12" s="506"/>
      <c r="I12" s="507"/>
    </row>
    <row r="13" spans="1:21" ht="24" customHeight="1" x14ac:dyDescent="0.25">
      <c r="A13" s="152">
        <v>4</v>
      </c>
      <c r="B13" s="153"/>
      <c r="C13" s="154" t="s">
        <v>513</v>
      </c>
      <c r="D13" s="158"/>
      <c r="E13" s="158"/>
      <c r="F13" s="158"/>
      <c r="G13" s="158"/>
      <c r="H13" s="158"/>
      <c r="I13" s="158"/>
    </row>
    <row r="14" spans="1:21" ht="24" customHeight="1" x14ac:dyDescent="0.25">
      <c r="A14" s="153"/>
      <c r="B14" s="153">
        <v>4</v>
      </c>
      <c r="C14" s="155" t="s">
        <v>514</v>
      </c>
      <c r="D14" s="158"/>
      <c r="E14" s="158"/>
      <c r="F14" s="158"/>
      <c r="G14" s="158"/>
      <c r="H14" s="158"/>
      <c r="I14" s="158"/>
    </row>
    <row r="15" spans="1:21" ht="24" customHeight="1" x14ac:dyDescent="0.25">
      <c r="A15" s="152">
        <v>6</v>
      </c>
      <c r="B15" s="153"/>
      <c r="C15" s="154" t="s">
        <v>503</v>
      </c>
      <c r="D15" s="158"/>
      <c r="E15" s="158"/>
      <c r="F15" s="158"/>
      <c r="G15" s="158"/>
      <c r="H15" s="158"/>
      <c r="I15" s="158"/>
      <c r="K15" s="508" t="s">
        <v>346</v>
      </c>
      <c r="L15" s="508"/>
      <c r="M15" s="508"/>
      <c r="N15" s="508"/>
      <c r="O15" s="508"/>
      <c r="P15" s="508"/>
      <c r="Q15" s="508"/>
      <c r="R15" s="508"/>
      <c r="S15" s="508"/>
      <c r="T15" s="508"/>
      <c r="U15" s="508"/>
    </row>
    <row r="16" spans="1:21" ht="24" customHeight="1" x14ac:dyDescent="0.25">
      <c r="A16" s="153"/>
      <c r="B16" s="153">
        <v>3</v>
      </c>
      <c r="C16" s="155" t="s">
        <v>36</v>
      </c>
      <c r="D16" s="158"/>
      <c r="E16" s="158"/>
      <c r="F16" s="158"/>
      <c r="G16" s="158"/>
      <c r="H16" s="158"/>
      <c r="I16" s="158"/>
      <c r="K16" s="508"/>
      <c r="L16" s="508"/>
      <c r="M16" s="508"/>
      <c r="N16" s="508"/>
      <c r="O16" s="508"/>
      <c r="P16" s="508"/>
      <c r="Q16" s="508"/>
      <c r="R16" s="508"/>
      <c r="S16" s="508"/>
      <c r="T16" s="508"/>
      <c r="U16" s="508"/>
    </row>
    <row r="17" spans="1:21" ht="24" customHeight="1" x14ac:dyDescent="0.25">
      <c r="A17" s="153"/>
      <c r="B17" s="153">
        <v>3</v>
      </c>
      <c r="C17" s="155" t="s">
        <v>472</v>
      </c>
      <c r="D17" s="158"/>
      <c r="E17" s="158"/>
      <c r="F17" s="158"/>
      <c r="G17" s="158"/>
      <c r="H17" s="158"/>
      <c r="I17" s="158"/>
      <c r="K17" s="508"/>
      <c r="L17" s="508"/>
      <c r="M17" s="508"/>
      <c r="N17" s="508"/>
      <c r="O17" s="508"/>
      <c r="P17" s="508"/>
      <c r="Q17" s="508"/>
      <c r="R17" s="508"/>
      <c r="S17" s="508"/>
      <c r="T17" s="508"/>
      <c r="U17" s="508"/>
    </row>
    <row r="18" spans="1:21" ht="24" customHeight="1" x14ac:dyDescent="0.25">
      <c r="A18" s="152">
        <v>8</v>
      </c>
      <c r="B18" s="153"/>
      <c r="C18" s="154" t="s">
        <v>238</v>
      </c>
      <c r="D18" s="158"/>
      <c r="E18" s="158"/>
      <c r="F18" s="158"/>
      <c r="G18" s="158"/>
      <c r="H18" s="158"/>
      <c r="I18" s="158"/>
      <c r="K18" s="508"/>
      <c r="L18" s="508"/>
      <c r="M18" s="508"/>
      <c r="N18" s="508"/>
      <c r="O18" s="508"/>
      <c r="P18" s="508"/>
      <c r="Q18" s="508"/>
      <c r="R18" s="508"/>
      <c r="S18" s="508"/>
      <c r="T18" s="508"/>
      <c r="U18" s="508"/>
    </row>
    <row r="19" spans="1:21" ht="24" customHeight="1" x14ac:dyDescent="0.25">
      <c r="A19" s="152"/>
      <c r="B19" s="153">
        <v>3</v>
      </c>
      <c r="C19" s="275" t="s">
        <v>341</v>
      </c>
      <c r="D19" s="158"/>
      <c r="E19" s="158"/>
      <c r="F19" s="158"/>
      <c r="G19" s="158"/>
      <c r="H19" s="158"/>
      <c r="I19" s="158"/>
      <c r="K19" s="508"/>
      <c r="L19" s="508"/>
      <c r="M19" s="508"/>
      <c r="N19" s="508"/>
      <c r="O19" s="508"/>
      <c r="P19" s="508"/>
      <c r="Q19" s="508"/>
      <c r="R19" s="508"/>
      <c r="S19" s="508"/>
      <c r="T19" s="508"/>
      <c r="U19" s="508"/>
    </row>
    <row r="20" spans="1:21" ht="24" customHeight="1" x14ac:dyDescent="0.25">
      <c r="A20" s="153"/>
      <c r="B20" s="153">
        <v>3</v>
      </c>
      <c r="C20" s="155" t="s">
        <v>342</v>
      </c>
      <c r="D20" s="158"/>
      <c r="E20" s="158"/>
      <c r="F20" s="158"/>
      <c r="G20" s="158"/>
      <c r="H20" s="158"/>
      <c r="I20" s="158"/>
    </row>
    <row r="21" spans="1:21" ht="24" customHeight="1" x14ac:dyDescent="0.25">
      <c r="A21" s="153"/>
      <c r="B21" s="153">
        <v>2</v>
      </c>
      <c r="C21" s="275" t="s">
        <v>314</v>
      </c>
      <c r="D21" s="158"/>
      <c r="E21" s="158"/>
      <c r="F21" s="158"/>
      <c r="G21" s="158"/>
      <c r="H21" s="158"/>
      <c r="I21" s="158"/>
    </row>
    <row r="22" spans="1:21" ht="24" customHeight="1" x14ac:dyDescent="0.25">
      <c r="A22" s="152">
        <v>6</v>
      </c>
      <c r="B22" s="153"/>
      <c r="C22" s="154" t="s">
        <v>58</v>
      </c>
      <c r="D22" s="158"/>
      <c r="E22" s="158"/>
      <c r="F22" s="158"/>
      <c r="G22" s="158"/>
      <c r="H22" s="158"/>
      <c r="I22" s="158"/>
    </row>
    <row r="23" spans="1:21" ht="24" customHeight="1" x14ac:dyDescent="0.25">
      <c r="A23" s="153"/>
      <c r="B23" s="153">
        <v>2</v>
      </c>
      <c r="C23" s="155" t="s">
        <v>336</v>
      </c>
      <c r="D23" s="158"/>
      <c r="E23" s="158"/>
      <c r="F23" s="158"/>
      <c r="G23" s="158"/>
      <c r="H23" s="158"/>
      <c r="I23" s="158"/>
      <c r="K23" s="8"/>
    </row>
    <row r="24" spans="1:21" ht="24" customHeight="1" x14ac:dyDescent="0.25">
      <c r="A24" s="153"/>
      <c r="B24" s="153">
        <v>2</v>
      </c>
      <c r="C24" s="155" t="s">
        <v>347</v>
      </c>
      <c r="D24" s="158"/>
      <c r="E24" s="158"/>
      <c r="F24" s="158"/>
      <c r="G24" s="158"/>
      <c r="H24" s="158"/>
      <c r="I24" s="158"/>
      <c r="K24" s="8"/>
    </row>
    <row r="25" spans="1:21" ht="24" customHeight="1" x14ac:dyDescent="0.25">
      <c r="A25" s="153"/>
      <c r="B25" s="153">
        <v>2</v>
      </c>
      <c r="C25" s="275" t="s">
        <v>61</v>
      </c>
      <c r="D25" s="158"/>
      <c r="E25" s="158"/>
      <c r="F25" s="158"/>
      <c r="G25" s="158"/>
      <c r="H25" s="158"/>
      <c r="I25" s="158"/>
      <c r="K25" s="8"/>
    </row>
    <row r="26" spans="1:21" ht="24" customHeight="1" x14ac:dyDescent="0.25">
      <c r="A26" s="152">
        <v>4</v>
      </c>
      <c r="B26" s="153"/>
      <c r="C26" s="154" t="s">
        <v>317</v>
      </c>
      <c r="D26" s="158"/>
      <c r="E26" s="158"/>
      <c r="F26" s="158"/>
      <c r="G26" s="158"/>
      <c r="H26" s="158"/>
      <c r="I26" s="158"/>
      <c r="K26" s="8"/>
    </row>
    <row r="27" spans="1:21" ht="24" customHeight="1" x14ac:dyDescent="0.25">
      <c r="A27" s="152"/>
      <c r="B27" s="153">
        <v>2</v>
      </c>
      <c r="C27" s="155" t="s">
        <v>46</v>
      </c>
      <c r="D27" s="158"/>
      <c r="E27" s="158"/>
      <c r="F27" s="158"/>
      <c r="G27" s="158"/>
      <c r="H27" s="158"/>
      <c r="I27" s="158"/>
    </row>
    <row r="28" spans="1:21" ht="24" customHeight="1" x14ac:dyDescent="0.25">
      <c r="A28" s="152"/>
      <c r="B28" s="153">
        <v>2</v>
      </c>
      <c r="C28" s="275" t="s">
        <v>348</v>
      </c>
      <c r="D28" s="158"/>
      <c r="E28" s="158"/>
      <c r="F28" s="158"/>
      <c r="G28" s="158"/>
      <c r="H28" s="158"/>
      <c r="I28" s="158"/>
      <c r="K28" s="73"/>
      <c r="L28" s="8"/>
      <c r="M28" s="8"/>
    </row>
    <row r="29" spans="1:21" ht="24" customHeight="1" x14ac:dyDescent="0.25">
      <c r="A29" s="152">
        <v>7</v>
      </c>
      <c r="B29" s="153"/>
      <c r="C29" s="154" t="s">
        <v>349</v>
      </c>
      <c r="D29" s="158"/>
      <c r="E29" s="158"/>
      <c r="F29" s="158"/>
      <c r="G29" s="158"/>
      <c r="H29" s="158"/>
      <c r="I29" s="158"/>
      <c r="K29" s="8"/>
      <c r="L29" s="8"/>
      <c r="M29" s="8"/>
    </row>
    <row r="30" spans="1:21" ht="24" customHeight="1" x14ac:dyDescent="0.25">
      <c r="A30" s="152"/>
      <c r="B30" s="153">
        <v>3</v>
      </c>
      <c r="C30" s="275" t="s">
        <v>56</v>
      </c>
      <c r="D30" s="158"/>
      <c r="E30" s="158"/>
      <c r="F30" s="158"/>
      <c r="G30" s="158"/>
      <c r="H30" s="158"/>
      <c r="I30" s="158"/>
      <c r="K30" s="8"/>
      <c r="L30" s="8"/>
      <c r="M30" s="8"/>
    </row>
    <row r="31" spans="1:21" ht="24" customHeight="1" x14ac:dyDescent="0.25">
      <c r="A31" s="152"/>
      <c r="B31" s="153">
        <v>4</v>
      </c>
      <c r="C31" s="155" t="s">
        <v>350</v>
      </c>
      <c r="D31" s="158"/>
      <c r="E31" s="158"/>
      <c r="F31" s="158"/>
      <c r="G31" s="158"/>
      <c r="H31" s="158"/>
      <c r="I31" s="158"/>
      <c r="K31" s="8"/>
      <c r="L31" s="8"/>
      <c r="M31" s="8"/>
    </row>
    <row r="32" spans="1:21" ht="24" customHeight="1" x14ac:dyDescent="0.25">
      <c r="A32" s="152">
        <v>4</v>
      </c>
      <c r="B32" s="153"/>
      <c r="C32" s="154" t="s">
        <v>49</v>
      </c>
      <c r="D32" s="158"/>
      <c r="E32" s="158"/>
      <c r="F32" s="158"/>
      <c r="G32" s="158"/>
      <c r="H32" s="158"/>
      <c r="I32" s="158"/>
      <c r="K32" s="8"/>
      <c r="L32" s="8"/>
      <c r="M32" s="8"/>
    </row>
    <row r="33" spans="1:14" ht="24" customHeight="1" x14ac:dyDescent="0.25">
      <c r="A33" s="152"/>
      <c r="B33" s="153">
        <v>2</v>
      </c>
      <c r="C33" s="155" t="s">
        <v>51</v>
      </c>
      <c r="D33" s="158"/>
      <c r="E33" s="158"/>
      <c r="F33" s="158"/>
      <c r="G33" s="158"/>
      <c r="H33" s="158"/>
      <c r="I33" s="158"/>
      <c r="K33" s="8"/>
      <c r="L33" s="8"/>
      <c r="M33" s="8"/>
    </row>
    <row r="34" spans="1:14" ht="24" customHeight="1" x14ac:dyDescent="0.25">
      <c r="A34" s="152"/>
      <c r="B34" s="153">
        <v>2</v>
      </c>
      <c r="C34" s="155" t="s">
        <v>335</v>
      </c>
      <c r="D34" s="158"/>
      <c r="E34" s="158"/>
      <c r="F34" s="158"/>
      <c r="G34" s="158"/>
      <c r="H34" s="158"/>
      <c r="I34" s="158"/>
    </row>
    <row r="35" spans="1:14" ht="24" customHeight="1" x14ac:dyDescent="0.25">
      <c r="A35" s="152">
        <v>4</v>
      </c>
      <c r="B35" s="152"/>
      <c r="C35" s="154" t="s">
        <v>29</v>
      </c>
      <c r="D35" s="158"/>
      <c r="E35" s="158"/>
      <c r="F35" s="158"/>
      <c r="G35" s="158"/>
      <c r="H35" s="158"/>
      <c r="I35" s="158"/>
    </row>
    <row r="36" spans="1:14" ht="24" customHeight="1" x14ac:dyDescent="0.25">
      <c r="A36" s="152"/>
      <c r="B36" s="153">
        <v>2</v>
      </c>
      <c r="C36" s="170" t="s">
        <v>351</v>
      </c>
      <c r="D36" s="158"/>
      <c r="E36" s="158"/>
      <c r="F36" s="158"/>
      <c r="G36" s="158"/>
      <c r="H36" s="158"/>
      <c r="I36" s="158"/>
    </row>
    <row r="37" spans="1:14" ht="24" customHeight="1" x14ac:dyDescent="0.25">
      <c r="A37" s="152"/>
      <c r="B37" s="153">
        <v>2</v>
      </c>
      <c r="C37" s="170" t="s">
        <v>33</v>
      </c>
      <c r="D37" s="158"/>
      <c r="E37" s="158"/>
      <c r="F37" s="158"/>
      <c r="G37" s="158"/>
      <c r="H37" s="158"/>
      <c r="I37" s="158"/>
    </row>
    <row r="38" spans="1:14" ht="24" customHeight="1" x14ac:dyDescent="0.25">
      <c r="A38" s="152">
        <v>6</v>
      </c>
      <c r="B38" s="153"/>
      <c r="C38" s="154" t="s">
        <v>332</v>
      </c>
      <c r="D38" s="158"/>
      <c r="E38" s="158"/>
      <c r="F38" s="158"/>
      <c r="G38" s="158"/>
      <c r="H38" s="158"/>
      <c r="I38" s="158"/>
    </row>
    <row r="39" spans="1:14" ht="24" customHeight="1" x14ac:dyDescent="0.25">
      <c r="A39" s="152"/>
      <c r="B39" s="153">
        <v>2</v>
      </c>
      <c r="C39" s="275" t="s">
        <v>352</v>
      </c>
      <c r="D39" s="158"/>
      <c r="E39" s="158"/>
      <c r="F39" s="158"/>
      <c r="G39" s="158"/>
      <c r="H39" s="158"/>
      <c r="I39" s="158"/>
    </row>
    <row r="40" spans="1:14" ht="24" customHeight="1" x14ac:dyDescent="0.25">
      <c r="A40" s="152"/>
      <c r="B40" s="153">
        <v>2</v>
      </c>
      <c r="C40" s="275" t="s">
        <v>353</v>
      </c>
      <c r="D40" s="158"/>
      <c r="E40" s="158"/>
      <c r="F40" s="158"/>
      <c r="G40" s="158"/>
      <c r="H40" s="158"/>
      <c r="I40" s="158"/>
    </row>
    <row r="41" spans="1:14" ht="24" customHeight="1" x14ac:dyDescent="0.25">
      <c r="A41" s="152"/>
      <c r="B41" s="153">
        <v>2</v>
      </c>
      <c r="C41" s="275" t="s">
        <v>354</v>
      </c>
      <c r="D41" s="158"/>
      <c r="E41" s="158"/>
      <c r="F41" s="158"/>
      <c r="G41" s="158"/>
      <c r="H41" s="158"/>
      <c r="I41" s="158"/>
    </row>
    <row r="42" spans="1:14" ht="24.9" customHeight="1" x14ac:dyDescent="0.25">
      <c r="A42" s="156">
        <f>SUM(A11:A41)</f>
        <v>100</v>
      </c>
      <c r="B42" s="156"/>
      <c r="C42" s="157" t="s">
        <v>69</v>
      </c>
      <c r="D42" s="159">
        <f t="shared" ref="D42:I42" si="0">SUM(D11:D41)</f>
        <v>51</v>
      </c>
      <c r="E42" s="159" t="e">
        <f t="shared" si="0"/>
        <v>#DIV/0!</v>
      </c>
      <c r="F42" s="159" t="e">
        <f t="shared" si="0"/>
        <v>#DIV/0!</v>
      </c>
      <c r="G42" s="159" t="e">
        <f t="shared" si="0"/>
        <v>#DIV/0!</v>
      </c>
      <c r="H42" s="159" t="e">
        <f t="shared" si="0"/>
        <v>#DIV/0!</v>
      </c>
      <c r="I42" s="159" t="e">
        <f t="shared" si="0"/>
        <v>#DIV/0!</v>
      </c>
      <c r="K42" s="148"/>
      <c r="L42" s="148"/>
      <c r="M42" s="148"/>
      <c r="N42" s="148"/>
    </row>
    <row r="43" spans="1:14" x14ac:dyDescent="0.25">
      <c r="K43" s="148"/>
      <c r="L43" s="148"/>
      <c r="M43" s="148"/>
      <c r="N43" s="148"/>
    </row>
  </sheetData>
  <mergeCells count="15">
    <mergeCell ref="A6:C6"/>
    <mergeCell ref="D6:I6"/>
    <mergeCell ref="A1:I1"/>
    <mergeCell ref="A2:I2"/>
    <mergeCell ref="A3:I3"/>
    <mergeCell ref="A4:C5"/>
    <mergeCell ref="D4:I4"/>
    <mergeCell ref="D12:I12"/>
    <mergeCell ref="K15:U19"/>
    <mergeCell ref="A7:C7"/>
    <mergeCell ref="A8:C8"/>
    <mergeCell ref="A9:C9"/>
    <mergeCell ref="A10:C10"/>
    <mergeCell ref="B11:C11"/>
    <mergeCell ref="A12:B12"/>
  </mergeCells>
  <printOptions horizontalCentered="1"/>
  <pageMargins left="0.27" right="0.32" top="0.5" bottom="0.5" header="0.5" footer="0.5"/>
  <pageSetup scale="5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7B03-ACB4-46E3-B172-790749A76F97}">
  <sheetPr>
    <tabColor theme="8" tint="0.79998168889431442"/>
    <pageSetUpPr fitToPage="1"/>
  </sheetPr>
  <dimension ref="A1:O42"/>
  <sheetViews>
    <sheetView showGridLines="0" zoomScale="75" workbookViewId="0">
      <selection activeCell="O5" sqref="O5"/>
    </sheetView>
  </sheetViews>
  <sheetFormatPr defaultColWidth="9.109375" defaultRowHeight="13.2" x14ac:dyDescent="0.25"/>
  <cols>
    <col min="1" max="1" width="7.109375" style="145" customWidth="1"/>
    <col min="2" max="2" width="5" style="145" customWidth="1"/>
    <col min="3" max="3" width="78.109375" style="145" customWidth="1"/>
    <col min="4" max="9" width="10.6640625" style="150" customWidth="1"/>
    <col min="10" max="13" width="9.109375" style="145"/>
    <col min="14" max="14" width="5.77734375" style="145" customWidth="1"/>
    <col min="15" max="15" width="92.33203125" style="145" customWidth="1"/>
    <col min="16" max="16384" width="9.109375" style="145"/>
  </cols>
  <sheetData>
    <row r="1" spans="1:15" ht="78" customHeight="1" x14ac:dyDescent="0.25">
      <c r="A1" s="521" t="s">
        <v>345</v>
      </c>
      <c r="B1" s="521"/>
      <c r="C1" s="522"/>
      <c r="D1" s="522"/>
      <c r="E1" s="522"/>
      <c r="F1" s="522"/>
      <c r="G1" s="522"/>
      <c r="H1" s="522"/>
      <c r="I1" s="523"/>
    </row>
    <row r="2" spans="1:15" ht="32.4" customHeight="1" x14ac:dyDescent="0.25">
      <c r="A2" s="537" t="s">
        <v>344</v>
      </c>
      <c r="B2" s="537"/>
      <c r="C2" s="537"/>
      <c r="D2" s="537"/>
      <c r="E2" s="537"/>
      <c r="F2" s="537"/>
      <c r="G2" s="537"/>
      <c r="H2" s="537"/>
      <c r="I2" s="537"/>
    </row>
    <row r="3" spans="1:15" ht="32.4" customHeight="1" x14ac:dyDescent="0.25">
      <c r="A3" s="538" t="s">
        <v>174</v>
      </c>
      <c r="B3" s="538"/>
      <c r="C3" s="538"/>
      <c r="D3" s="540" t="s">
        <v>64</v>
      </c>
      <c r="E3" s="541"/>
      <c r="F3" s="541"/>
      <c r="G3" s="541"/>
      <c r="H3" s="541"/>
      <c r="I3" s="542"/>
    </row>
    <row r="4" spans="1:15" ht="227.25" customHeight="1" x14ac:dyDescent="0.25">
      <c r="A4" s="539"/>
      <c r="B4" s="539"/>
      <c r="C4" s="539"/>
      <c r="D4" s="146"/>
      <c r="E4" s="146"/>
      <c r="F4" s="146"/>
      <c r="G4" s="146"/>
      <c r="H4" s="147"/>
      <c r="I4" s="147"/>
    </row>
    <row r="5" spans="1:15" ht="35.1" customHeight="1" x14ac:dyDescent="0.25">
      <c r="A5" s="517" t="s">
        <v>65</v>
      </c>
      <c r="B5" s="518"/>
      <c r="C5" s="519"/>
      <c r="D5" s="505" t="s">
        <v>66</v>
      </c>
      <c r="E5" s="506"/>
      <c r="F5" s="506"/>
      <c r="G5" s="506"/>
      <c r="H5" s="506"/>
      <c r="I5" s="507"/>
    </row>
    <row r="6" spans="1:15" ht="47.4" customHeight="1" x14ac:dyDescent="0.25">
      <c r="A6" s="509" t="s">
        <v>222</v>
      </c>
      <c r="B6" s="510"/>
      <c r="C6" s="511"/>
      <c r="D6" s="103"/>
      <c r="E6" s="103"/>
      <c r="F6" s="103"/>
      <c r="G6" s="103"/>
      <c r="H6" s="103"/>
      <c r="I6" s="103"/>
    </row>
    <row r="7" spans="1:15" ht="35.1" customHeight="1" x14ac:dyDescent="0.25">
      <c r="A7" s="512" t="s">
        <v>223</v>
      </c>
      <c r="B7" s="513"/>
      <c r="C7" s="514"/>
      <c r="D7" s="161">
        <v>0</v>
      </c>
      <c r="E7" s="161">
        <f>+E6-D6</f>
        <v>0</v>
      </c>
      <c r="F7" s="161">
        <f>+F6-D6</f>
        <v>0</v>
      </c>
      <c r="G7" s="161">
        <f>+G6-D6</f>
        <v>0</v>
      </c>
      <c r="H7" s="161">
        <f>+H6-D6</f>
        <v>0</v>
      </c>
      <c r="I7" s="161">
        <f>+I6-D6</f>
        <v>0</v>
      </c>
    </row>
    <row r="8" spans="1:15" ht="35.1" customHeight="1" x14ac:dyDescent="0.25">
      <c r="A8" s="512" t="s">
        <v>224</v>
      </c>
      <c r="B8" s="513"/>
      <c r="C8" s="514"/>
      <c r="D8" s="161">
        <v>0</v>
      </c>
      <c r="E8" s="161" t="e">
        <f>+E7/D6</f>
        <v>#DIV/0!</v>
      </c>
      <c r="F8" s="161" t="e">
        <f>+F7/D6</f>
        <v>#DIV/0!</v>
      </c>
      <c r="G8" s="161" t="e">
        <f>+G7/$D$6</f>
        <v>#DIV/0!</v>
      </c>
      <c r="H8" s="161" t="e">
        <f>+H7/$D$6</f>
        <v>#DIV/0!</v>
      </c>
      <c r="I8" s="161" t="e">
        <f>+I7/$D$6</f>
        <v>#DIV/0!</v>
      </c>
    </row>
    <row r="9" spans="1:15" ht="35.1" customHeight="1" x14ac:dyDescent="0.25">
      <c r="A9" s="512" t="s">
        <v>225</v>
      </c>
      <c r="B9" s="513"/>
      <c r="C9" s="514"/>
      <c r="D9" s="162">
        <f>ROUND(1-D8,2)</f>
        <v>1</v>
      </c>
      <c r="E9" s="163" t="e">
        <f>1-E8</f>
        <v>#DIV/0!</v>
      </c>
      <c r="F9" s="163" t="e">
        <f>1-F8</f>
        <v>#DIV/0!</v>
      </c>
      <c r="G9" s="163" t="e">
        <f>1-G8</f>
        <v>#DIV/0!</v>
      </c>
      <c r="H9" s="163" t="e">
        <f>1-H8</f>
        <v>#DIV/0!</v>
      </c>
      <c r="I9" s="163" t="e">
        <f>1-I8</f>
        <v>#DIV/0!</v>
      </c>
    </row>
    <row r="10" spans="1:15" ht="35.1" customHeight="1" x14ac:dyDescent="0.25">
      <c r="A10" s="160">
        <v>51</v>
      </c>
      <c r="B10" s="513" t="s">
        <v>226</v>
      </c>
      <c r="C10" s="514"/>
      <c r="D10" s="162">
        <f>+D9*51</f>
        <v>51</v>
      </c>
      <c r="E10" s="162" t="e">
        <f>+E9*51</f>
        <v>#DIV/0!</v>
      </c>
      <c r="F10" s="162" t="e">
        <f>(F9*51)</f>
        <v>#DIV/0!</v>
      </c>
      <c r="G10" s="162" t="e">
        <f>+G9*0.51*100</f>
        <v>#DIV/0!</v>
      </c>
      <c r="H10" s="162" t="e">
        <f>+H9*0.51*100</f>
        <v>#DIV/0!</v>
      </c>
      <c r="I10" s="162" t="e">
        <f>+I9*0.51*100</f>
        <v>#DIV/0!</v>
      </c>
      <c r="M10" s="536" t="s">
        <v>220</v>
      </c>
      <c r="N10" s="536"/>
      <c r="O10" s="536"/>
    </row>
    <row r="11" spans="1:15" ht="35.1" customHeight="1" x14ac:dyDescent="0.25">
      <c r="A11" s="532" t="s">
        <v>221</v>
      </c>
      <c r="B11" s="533"/>
      <c r="C11" s="338" t="s">
        <v>67</v>
      </c>
      <c r="D11" s="505" t="s">
        <v>68</v>
      </c>
      <c r="E11" s="506"/>
      <c r="F11" s="506"/>
      <c r="G11" s="506"/>
      <c r="H11" s="506"/>
      <c r="I11" s="507"/>
      <c r="M11" s="534" t="s">
        <v>221</v>
      </c>
      <c r="N11" s="535"/>
      <c r="O11" s="339" t="s">
        <v>67</v>
      </c>
    </row>
    <row r="12" spans="1:15" ht="24" customHeight="1" x14ac:dyDescent="0.25">
      <c r="A12" s="153"/>
      <c r="B12" s="153"/>
      <c r="C12" s="155"/>
      <c r="D12" s="340"/>
      <c r="E12" s="340"/>
      <c r="F12" s="340"/>
      <c r="G12" s="340"/>
      <c r="H12" s="340"/>
      <c r="I12" s="340"/>
      <c r="M12" s="341">
        <v>6</v>
      </c>
      <c r="N12" s="342"/>
      <c r="O12" s="343" t="s">
        <v>503</v>
      </c>
    </row>
    <row r="13" spans="1:15" ht="24" customHeight="1" x14ac:dyDescent="0.25">
      <c r="A13" s="153"/>
      <c r="B13" s="153"/>
      <c r="C13" s="155"/>
      <c r="D13" s="344"/>
      <c r="E13" s="344"/>
      <c r="F13" s="344"/>
      <c r="G13" s="344"/>
      <c r="H13" s="344"/>
      <c r="I13" s="344"/>
      <c r="M13" s="342"/>
      <c r="N13" s="342">
        <v>3</v>
      </c>
      <c r="O13" s="345" t="s">
        <v>36</v>
      </c>
    </row>
    <row r="14" spans="1:15" ht="24" customHeight="1" x14ac:dyDescent="0.25">
      <c r="A14" s="153"/>
      <c r="B14" s="153"/>
      <c r="C14" s="155"/>
      <c r="D14" s="344"/>
      <c r="E14" s="344"/>
      <c r="F14" s="344"/>
      <c r="G14" s="344"/>
      <c r="H14" s="344"/>
      <c r="I14" s="344"/>
      <c r="M14" s="342"/>
      <c r="N14" s="342">
        <v>3</v>
      </c>
      <c r="O14" s="345" t="s">
        <v>472</v>
      </c>
    </row>
    <row r="15" spans="1:15" ht="24" customHeight="1" x14ac:dyDescent="0.25">
      <c r="A15" s="153"/>
      <c r="B15" s="153"/>
      <c r="C15" s="155"/>
      <c r="D15" s="344"/>
      <c r="E15" s="344"/>
      <c r="F15" s="344"/>
      <c r="G15" s="344"/>
      <c r="H15" s="344"/>
      <c r="I15" s="344"/>
      <c r="M15" s="341">
        <v>8</v>
      </c>
      <c r="N15" s="342"/>
      <c r="O15" s="343" t="s">
        <v>238</v>
      </c>
    </row>
    <row r="16" spans="1:15" ht="24" customHeight="1" x14ac:dyDescent="0.25">
      <c r="A16" s="153"/>
      <c r="B16" s="153"/>
      <c r="C16" s="155"/>
      <c r="D16" s="344"/>
      <c r="E16" s="344"/>
      <c r="F16" s="344"/>
      <c r="G16" s="344"/>
      <c r="H16" s="344"/>
      <c r="I16" s="344"/>
      <c r="M16" s="342"/>
      <c r="N16" s="342">
        <v>3</v>
      </c>
      <c r="O16" s="345" t="s">
        <v>341</v>
      </c>
    </row>
    <row r="17" spans="1:15" ht="24" customHeight="1" x14ac:dyDescent="0.25">
      <c r="A17" s="153"/>
      <c r="B17" s="153"/>
      <c r="C17" s="155"/>
      <c r="D17" s="344"/>
      <c r="E17" s="344"/>
      <c r="F17" s="344"/>
      <c r="G17" s="344"/>
      <c r="H17" s="344"/>
      <c r="I17" s="344"/>
      <c r="M17" s="341"/>
      <c r="N17" s="342">
        <v>3</v>
      </c>
      <c r="O17" s="345" t="s">
        <v>342</v>
      </c>
    </row>
    <row r="18" spans="1:15" ht="24" customHeight="1" x14ac:dyDescent="0.25">
      <c r="A18" s="153"/>
      <c r="B18" s="153"/>
      <c r="C18" s="155"/>
      <c r="D18" s="344"/>
      <c r="E18" s="344"/>
      <c r="F18" s="344"/>
      <c r="G18" s="344"/>
      <c r="H18" s="344"/>
      <c r="I18" s="344"/>
      <c r="M18" s="342"/>
      <c r="N18" s="342">
        <v>2</v>
      </c>
      <c r="O18" s="345" t="s">
        <v>343</v>
      </c>
    </row>
    <row r="19" spans="1:15" ht="24" customHeight="1" x14ac:dyDescent="0.25">
      <c r="A19" s="153"/>
      <c r="B19" s="153"/>
      <c r="C19" s="155"/>
      <c r="D19" s="344"/>
      <c r="E19" s="344"/>
      <c r="F19" s="344"/>
      <c r="G19" s="344"/>
      <c r="H19" s="344"/>
      <c r="I19" s="344"/>
    </row>
    <row r="20" spans="1:15" ht="24" customHeight="1" x14ac:dyDescent="0.25">
      <c r="A20" s="153"/>
      <c r="B20" s="153"/>
      <c r="C20" s="155"/>
      <c r="D20" s="344"/>
      <c r="E20" s="344"/>
      <c r="F20" s="344"/>
      <c r="G20" s="344"/>
      <c r="H20" s="344"/>
      <c r="I20" s="344"/>
    </row>
    <row r="21" spans="1:15" ht="24" customHeight="1" x14ac:dyDescent="0.25">
      <c r="A21" s="153"/>
      <c r="B21" s="153"/>
      <c r="C21" s="155"/>
      <c r="D21" s="344"/>
      <c r="E21" s="344"/>
      <c r="F21" s="344"/>
      <c r="G21" s="344"/>
      <c r="H21" s="344"/>
      <c r="I21" s="344"/>
    </row>
    <row r="22" spans="1:15" ht="24" customHeight="1" x14ac:dyDescent="0.25">
      <c r="A22" s="153"/>
      <c r="B22" s="153"/>
      <c r="C22" s="155"/>
      <c r="D22" s="344"/>
      <c r="E22" s="344"/>
      <c r="F22" s="344"/>
      <c r="G22" s="344"/>
      <c r="H22" s="344"/>
      <c r="I22" s="344"/>
    </row>
    <row r="23" spans="1:15" ht="24" customHeight="1" x14ac:dyDescent="0.25">
      <c r="A23" s="153"/>
      <c r="B23" s="153"/>
      <c r="C23" s="155"/>
      <c r="D23" s="344"/>
      <c r="E23" s="344"/>
      <c r="F23" s="344"/>
      <c r="G23" s="344"/>
      <c r="H23" s="344"/>
      <c r="I23" s="344"/>
    </row>
    <row r="24" spans="1:15" ht="24" customHeight="1" x14ac:dyDescent="0.25">
      <c r="A24" s="153"/>
      <c r="B24" s="153"/>
      <c r="C24" s="155"/>
      <c r="D24" s="344"/>
      <c r="E24" s="344"/>
      <c r="F24" s="344"/>
      <c r="G24" s="344"/>
      <c r="H24" s="344"/>
      <c r="I24" s="344"/>
    </row>
    <row r="25" spans="1:15" ht="24" customHeight="1" x14ac:dyDescent="0.25">
      <c r="A25" s="153"/>
      <c r="B25" s="153"/>
      <c r="C25" s="155"/>
      <c r="D25" s="344"/>
      <c r="E25" s="344"/>
      <c r="F25" s="344"/>
      <c r="G25" s="344"/>
      <c r="H25" s="344"/>
      <c r="I25" s="344"/>
    </row>
    <row r="26" spans="1:15" ht="24" customHeight="1" x14ac:dyDescent="0.25">
      <c r="A26" s="153"/>
      <c r="B26" s="153"/>
      <c r="C26" s="155"/>
      <c r="D26" s="344"/>
      <c r="E26" s="344"/>
      <c r="F26" s="344"/>
      <c r="G26" s="344"/>
      <c r="H26" s="344"/>
      <c r="I26" s="344"/>
    </row>
    <row r="27" spans="1:15" ht="24" customHeight="1" x14ac:dyDescent="0.25">
      <c r="A27" s="153"/>
      <c r="B27" s="153"/>
      <c r="C27" s="155"/>
      <c r="D27" s="344"/>
      <c r="E27" s="344"/>
      <c r="F27" s="344"/>
      <c r="G27" s="344"/>
      <c r="H27" s="344"/>
      <c r="I27" s="344"/>
    </row>
    <row r="28" spans="1:15" ht="24" customHeight="1" x14ac:dyDescent="0.25">
      <c r="A28" s="153"/>
      <c r="B28" s="153"/>
      <c r="C28" s="155"/>
      <c r="D28" s="344"/>
      <c r="E28" s="344"/>
      <c r="F28" s="344"/>
      <c r="G28" s="344"/>
      <c r="H28" s="344"/>
      <c r="I28" s="344"/>
    </row>
    <row r="29" spans="1:15" ht="24" customHeight="1" x14ac:dyDescent="0.25">
      <c r="A29" s="153"/>
      <c r="B29" s="153"/>
      <c r="C29" s="155"/>
      <c r="D29" s="344"/>
      <c r="E29" s="344"/>
      <c r="F29" s="344"/>
      <c r="G29" s="344"/>
      <c r="H29" s="344"/>
      <c r="I29" s="344"/>
    </row>
    <row r="30" spans="1:15" ht="24" customHeight="1" x14ac:dyDescent="0.25">
      <c r="A30" s="153"/>
      <c r="B30" s="153"/>
      <c r="C30" s="155"/>
      <c r="D30" s="344"/>
      <c r="E30" s="344"/>
      <c r="F30" s="344"/>
      <c r="G30" s="344"/>
      <c r="H30" s="344"/>
      <c r="I30" s="344"/>
    </row>
    <row r="31" spans="1:15" ht="24" customHeight="1" x14ac:dyDescent="0.25">
      <c r="A31" s="153"/>
      <c r="B31" s="153"/>
      <c r="C31" s="155"/>
      <c r="D31" s="344"/>
      <c r="E31" s="344"/>
      <c r="F31" s="344"/>
      <c r="G31" s="344"/>
      <c r="H31" s="344"/>
      <c r="I31" s="344"/>
    </row>
    <row r="32" spans="1:15" ht="24" customHeight="1" x14ac:dyDescent="0.25">
      <c r="A32" s="153"/>
      <c r="B32" s="153"/>
      <c r="C32" s="155"/>
      <c r="D32" s="344"/>
      <c r="E32" s="344"/>
      <c r="F32" s="344"/>
      <c r="G32" s="344"/>
      <c r="H32" s="344"/>
      <c r="I32" s="344"/>
    </row>
    <row r="33" spans="1:12" ht="24" customHeight="1" x14ac:dyDescent="0.25">
      <c r="A33" s="153"/>
      <c r="B33" s="153"/>
      <c r="C33" s="155"/>
      <c r="D33" s="344"/>
      <c r="E33" s="344"/>
      <c r="F33" s="344"/>
      <c r="G33" s="344"/>
      <c r="H33" s="344"/>
      <c r="I33" s="344"/>
    </row>
    <row r="34" spans="1:12" ht="24" customHeight="1" x14ac:dyDescent="0.25">
      <c r="A34" s="153"/>
      <c r="B34" s="153"/>
      <c r="C34" s="155"/>
      <c r="D34" s="344"/>
      <c r="E34" s="344"/>
      <c r="F34" s="344"/>
      <c r="G34" s="344"/>
      <c r="H34" s="344"/>
      <c r="I34" s="344"/>
    </row>
    <row r="35" spans="1:12" ht="24" customHeight="1" x14ac:dyDescent="0.25">
      <c r="A35" s="153"/>
      <c r="B35" s="153"/>
      <c r="C35" s="155"/>
      <c r="D35" s="344"/>
      <c r="E35" s="344"/>
      <c r="F35" s="344"/>
      <c r="G35" s="344"/>
      <c r="H35" s="344"/>
      <c r="I35" s="344"/>
    </row>
    <row r="36" spans="1:12" ht="24" customHeight="1" x14ac:dyDescent="0.25">
      <c r="A36" s="153"/>
      <c r="B36" s="153"/>
      <c r="C36" s="155"/>
      <c r="D36" s="344"/>
      <c r="E36" s="344"/>
      <c r="F36" s="344"/>
      <c r="G36" s="344"/>
      <c r="H36" s="344"/>
      <c r="I36" s="344"/>
    </row>
    <row r="37" spans="1:12" ht="24" customHeight="1" x14ac:dyDescent="0.25">
      <c r="A37" s="153"/>
      <c r="B37" s="153"/>
      <c r="C37" s="155"/>
      <c r="D37" s="344"/>
      <c r="E37" s="344"/>
      <c r="F37" s="344"/>
      <c r="G37" s="344"/>
      <c r="H37" s="344"/>
      <c r="I37" s="344"/>
    </row>
    <row r="38" spans="1:12" ht="24" customHeight="1" x14ac:dyDescent="0.25">
      <c r="A38" s="153"/>
      <c r="B38" s="153"/>
      <c r="C38" s="155"/>
      <c r="D38" s="344"/>
      <c r="E38" s="344"/>
      <c r="F38" s="344"/>
      <c r="G38" s="344"/>
      <c r="H38" s="344"/>
      <c r="I38" s="344"/>
    </row>
    <row r="39" spans="1:12" ht="24" customHeight="1" x14ac:dyDescent="0.25">
      <c r="A39" s="153"/>
      <c r="B39" s="153"/>
      <c r="C39" s="155"/>
      <c r="D39" s="344"/>
      <c r="E39" s="344"/>
      <c r="F39" s="344"/>
      <c r="G39" s="344"/>
      <c r="H39" s="344"/>
      <c r="I39" s="344"/>
    </row>
    <row r="40" spans="1:12" ht="24" customHeight="1" x14ac:dyDescent="0.25">
      <c r="A40" s="153"/>
      <c r="B40" s="153"/>
      <c r="C40" s="155"/>
      <c r="D40" s="344"/>
      <c r="E40" s="344"/>
      <c r="F40" s="344"/>
      <c r="G40" s="344"/>
      <c r="H40" s="344"/>
      <c r="I40" s="344"/>
    </row>
    <row r="41" spans="1:12" ht="24" customHeight="1" x14ac:dyDescent="0.25">
      <c r="A41" s="153"/>
      <c r="B41" s="153"/>
      <c r="C41" s="155"/>
      <c r="D41" s="344"/>
      <c r="E41" s="344"/>
      <c r="F41" s="344"/>
      <c r="G41" s="344"/>
      <c r="H41" s="344"/>
      <c r="I41" s="344"/>
    </row>
    <row r="42" spans="1:12" s="346" customFormat="1" ht="24" customHeight="1" x14ac:dyDescent="0.25">
      <c r="A42" s="156">
        <f>SUM(A10,A16:A41)</f>
        <v>51</v>
      </c>
      <c r="B42" s="156"/>
      <c r="C42" s="157" t="s">
        <v>69</v>
      </c>
      <c r="D42" s="159">
        <f t="shared" ref="D42:I42" si="0">SUM(D10:D41)</f>
        <v>51</v>
      </c>
      <c r="E42" s="159" t="e">
        <f t="shared" si="0"/>
        <v>#DIV/0!</v>
      </c>
      <c r="F42" s="159" t="e">
        <f t="shared" si="0"/>
        <v>#DIV/0!</v>
      </c>
      <c r="G42" s="159" t="e">
        <f t="shared" si="0"/>
        <v>#DIV/0!</v>
      </c>
      <c r="H42" s="159" t="e">
        <f t="shared" si="0"/>
        <v>#DIV/0!</v>
      </c>
      <c r="I42" s="159" t="e">
        <f t="shared" si="0"/>
        <v>#DIV/0!</v>
      </c>
      <c r="L42" s="143"/>
    </row>
  </sheetData>
  <mergeCells count="15">
    <mergeCell ref="A1:I1"/>
    <mergeCell ref="A2:I2"/>
    <mergeCell ref="A3:C4"/>
    <mergeCell ref="D3:I3"/>
    <mergeCell ref="A5:C5"/>
    <mergeCell ref="D5:I5"/>
    <mergeCell ref="A11:B11"/>
    <mergeCell ref="D11:I11"/>
    <mergeCell ref="M11:N11"/>
    <mergeCell ref="A6:C6"/>
    <mergeCell ref="A7:C7"/>
    <mergeCell ref="A8:C8"/>
    <mergeCell ref="A9:C9"/>
    <mergeCell ref="B10:C10"/>
    <mergeCell ref="M10:O10"/>
  </mergeCells>
  <printOptions horizontalCentered="1"/>
  <pageMargins left="0.27" right="0.32" top="0.5" bottom="0.5" header="0.5" footer="0.5"/>
  <pageSetup scale="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DD8E8-C91E-4CA1-9E54-49BCE30BA196}">
  <sheetPr>
    <tabColor theme="8" tint="0.79998168889431442"/>
    <pageSetUpPr fitToPage="1"/>
  </sheetPr>
  <dimension ref="A1:K327"/>
  <sheetViews>
    <sheetView showGridLines="0" zoomScaleNormal="100" workbookViewId="0">
      <selection activeCell="D10" sqref="D10"/>
    </sheetView>
  </sheetViews>
  <sheetFormatPr defaultRowHeight="13.2" x14ac:dyDescent="0.25"/>
  <cols>
    <col min="1" max="1" width="38.6640625" style="8" bestFit="1" customWidth="1"/>
    <col min="2" max="2" width="14.5546875" style="217" customWidth="1"/>
    <col min="3" max="3" width="15.88671875" style="217" customWidth="1"/>
    <col min="4" max="4" width="15.44140625" style="217" customWidth="1"/>
    <col min="5" max="5" width="27.88671875" style="217" customWidth="1"/>
    <col min="6" max="6" width="8.88671875" style="8"/>
    <col min="7" max="7" width="37.33203125" style="8" customWidth="1"/>
    <col min="8" max="8" width="14.33203125" style="8" customWidth="1"/>
    <col min="9" max="9" width="18" style="8" customWidth="1"/>
    <col min="10" max="10" width="14.88671875" style="8" customWidth="1"/>
    <col min="11" max="11" width="17.21875" style="8" customWidth="1"/>
    <col min="12" max="16384" width="8.88671875" style="8"/>
  </cols>
  <sheetData>
    <row r="1" spans="1:11" ht="46.95" customHeight="1" x14ac:dyDescent="0.25">
      <c r="A1" s="503" t="s">
        <v>368</v>
      </c>
      <c r="B1" s="496"/>
      <c r="C1" s="496"/>
      <c r="D1" s="496"/>
      <c r="E1" s="496"/>
    </row>
    <row r="2" spans="1:11" x14ac:dyDescent="0.25">
      <c r="A2" s="504" t="s">
        <v>230</v>
      </c>
      <c r="B2" s="543"/>
      <c r="C2" s="543"/>
      <c r="D2" s="543"/>
      <c r="E2" s="543"/>
    </row>
    <row r="3" spans="1:11" x14ac:dyDescent="0.25">
      <c r="B3" s="544" t="s">
        <v>73</v>
      </c>
      <c r="C3" s="544"/>
      <c r="D3" s="544"/>
      <c r="E3" s="544"/>
    </row>
    <row r="4" spans="1:11" ht="30.75" customHeight="1" x14ac:dyDescent="0.25">
      <c r="A4" s="349" t="s">
        <v>240</v>
      </c>
      <c r="B4" s="350" t="s">
        <v>74</v>
      </c>
      <c r="C4" s="350" t="s">
        <v>75</v>
      </c>
      <c r="D4" s="350" t="s">
        <v>229</v>
      </c>
      <c r="E4" s="350" t="s">
        <v>167</v>
      </c>
    </row>
    <row r="5" spans="1:11" x14ac:dyDescent="0.25">
      <c r="A5" s="351"/>
      <c r="B5" s="330"/>
      <c r="C5" s="330"/>
      <c r="D5" s="330"/>
      <c r="E5" s="330"/>
    </row>
    <row r="6" spans="1:11" x14ac:dyDescent="0.25">
      <c r="A6" s="351"/>
      <c r="B6" s="330"/>
      <c r="C6" s="330"/>
      <c r="D6" s="330"/>
      <c r="E6" s="330"/>
    </row>
    <row r="7" spans="1:11" x14ac:dyDescent="0.25">
      <c r="A7" s="351"/>
      <c r="B7" s="330"/>
      <c r="C7" s="330"/>
      <c r="D7" s="330"/>
      <c r="E7" s="330"/>
    </row>
    <row r="8" spans="1:11" x14ac:dyDescent="0.25">
      <c r="A8" s="351"/>
      <c r="B8" s="330"/>
      <c r="C8" s="330"/>
      <c r="D8" s="330"/>
      <c r="E8" s="330"/>
    </row>
    <row r="9" spans="1:11" x14ac:dyDescent="0.25">
      <c r="A9" s="351"/>
      <c r="B9" s="330"/>
      <c r="C9" s="330"/>
      <c r="D9" s="330"/>
      <c r="E9" s="330"/>
    </row>
    <row r="10" spans="1:11" x14ac:dyDescent="0.25">
      <c r="A10" s="351"/>
      <c r="B10" s="330"/>
      <c r="C10" s="330"/>
      <c r="D10" s="330"/>
      <c r="E10" s="330"/>
    </row>
    <row r="11" spans="1:11" x14ac:dyDescent="0.25">
      <c r="A11" s="351"/>
      <c r="B11" s="330"/>
      <c r="C11" s="330"/>
      <c r="D11" s="330"/>
      <c r="E11" s="330"/>
    </row>
    <row r="12" spans="1:11" x14ac:dyDescent="0.25">
      <c r="A12" s="351"/>
      <c r="B12" s="330"/>
      <c r="C12" s="330"/>
      <c r="D12" s="330"/>
      <c r="E12" s="330"/>
    </row>
    <row r="13" spans="1:11" x14ac:dyDescent="0.25">
      <c r="A13" s="351"/>
      <c r="B13" s="330"/>
      <c r="C13" s="330"/>
      <c r="D13" s="330"/>
      <c r="E13" s="330"/>
    </row>
    <row r="14" spans="1:11" x14ac:dyDescent="0.25">
      <c r="A14" s="351"/>
      <c r="B14" s="330"/>
      <c r="C14" s="330"/>
      <c r="D14" s="330"/>
      <c r="E14" s="330"/>
      <c r="G14" s="545" t="s">
        <v>369</v>
      </c>
      <c r="H14" s="545"/>
      <c r="I14" s="545"/>
      <c r="J14" s="545"/>
      <c r="K14" s="545"/>
    </row>
    <row r="15" spans="1:11" x14ac:dyDescent="0.25">
      <c r="A15" s="351"/>
      <c r="B15" s="330"/>
      <c r="C15" s="330"/>
      <c r="D15" s="330"/>
      <c r="E15" s="330"/>
      <c r="G15" s="352" t="s">
        <v>240</v>
      </c>
      <c r="H15" s="353" t="s">
        <v>355</v>
      </c>
      <c r="I15" s="353" t="s">
        <v>356</v>
      </c>
      <c r="J15" s="353" t="s">
        <v>371</v>
      </c>
      <c r="K15" s="354" t="s">
        <v>370</v>
      </c>
    </row>
    <row r="16" spans="1:11" x14ac:dyDescent="0.25">
      <c r="A16" s="351"/>
      <c r="B16" s="330"/>
      <c r="C16" s="330"/>
      <c r="D16" s="330"/>
      <c r="E16" s="330"/>
      <c r="G16" s="355" t="s">
        <v>272</v>
      </c>
      <c r="H16" s="356"/>
      <c r="I16" s="357"/>
      <c r="J16" s="357"/>
      <c r="K16" s="357"/>
    </row>
    <row r="17" spans="1:11" x14ac:dyDescent="0.25">
      <c r="A17" s="351"/>
      <c r="B17" s="330"/>
      <c r="C17" s="330"/>
      <c r="D17" s="330"/>
      <c r="E17" s="330"/>
      <c r="G17" s="358" t="s">
        <v>273</v>
      </c>
      <c r="H17" s="359"/>
      <c r="I17" s="359" t="s">
        <v>228</v>
      </c>
      <c r="J17" s="359" t="s">
        <v>228</v>
      </c>
      <c r="K17" s="357"/>
    </row>
    <row r="18" spans="1:11" x14ac:dyDescent="0.25">
      <c r="A18" s="351"/>
      <c r="B18" s="330"/>
      <c r="C18" s="330"/>
      <c r="D18" s="330"/>
      <c r="E18" s="330"/>
      <c r="G18" s="358" t="s">
        <v>360</v>
      </c>
      <c r="H18" s="359"/>
      <c r="I18" s="359" t="s">
        <v>228</v>
      </c>
      <c r="J18" s="359" t="s">
        <v>228</v>
      </c>
      <c r="K18" s="357"/>
    </row>
    <row r="19" spans="1:11" x14ac:dyDescent="0.25">
      <c r="A19" s="351"/>
      <c r="B19" s="330"/>
      <c r="C19" s="330"/>
      <c r="D19" s="330"/>
      <c r="E19" s="330"/>
      <c r="G19" s="355" t="s">
        <v>178</v>
      </c>
      <c r="H19" s="357"/>
      <c r="I19" s="357"/>
      <c r="J19" s="357"/>
      <c r="K19" s="357"/>
    </row>
    <row r="20" spans="1:11" x14ac:dyDescent="0.25">
      <c r="A20" s="351"/>
      <c r="B20" s="330"/>
      <c r="C20" s="330"/>
      <c r="D20" s="330"/>
      <c r="E20" s="330"/>
      <c r="G20" s="358" t="s">
        <v>76</v>
      </c>
      <c r="H20" s="359"/>
      <c r="I20" s="359" t="s">
        <v>228</v>
      </c>
      <c r="J20" s="359" t="s">
        <v>228</v>
      </c>
      <c r="K20" s="359"/>
    </row>
    <row r="21" spans="1:11" x14ac:dyDescent="0.25">
      <c r="A21" s="351"/>
      <c r="B21" s="330"/>
      <c r="C21" s="330"/>
      <c r="D21" s="330"/>
      <c r="E21" s="330"/>
      <c r="G21" s="358" t="s">
        <v>377</v>
      </c>
      <c r="H21" s="359"/>
      <c r="I21" s="359" t="s">
        <v>228</v>
      </c>
      <c r="J21" s="359" t="s">
        <v>228</v>
      </c>
      <c r="K21" s="359"/>
    </row>
    <row r="22" spans="1:11" x14ac:dyDescent="0.25">
      <c r="A22" s="351"/>
      <c r="B22" s="330"/>
      <c r="C22" s="330"/>
      <c r="D22" s="330"/>
      <c r="E22" s="330"/>
      <c r="G22" s="358" t="s">
        <v>361</v>
      </c>
      <c r="H22" s="359"/>
      <c r="I22" s="359" t="s">
        <v>228</v>
      </c>
      <c r="J22" s="359" t="s">
        <v>228</v>
      </c>
      <c r="K22" s="359"/>
    </row>
    <row r="23" spans="1:11" x14ac:dyDescent="0.25">
      <c r="A23" s="351"/>
      <c r="B23" s="330"/>
      <c r="C23" s="330"/>
      <c r="D23" s="330"/>
      <c r="E23" s="330"/>
      <c r="G23" s="358" t="s">
        <v>78</v>
      </c>
      <c r="H23" s="359"/>
      <c r="I23" s="359" t="s">
        <v>228</v>
      </c>
      <c r="J23" s="359" t="s">
        <v>228</v>
      </c>
      <c r="K23" s="359"/>
    </row>
    <row r="24" spans="1:11" x14ac:dyDescent="0.25">
      <c r="A24" s="351"/>
      <c r="B24" s="330"/>
      <c r="C24" s="330"/>
      <c r="D24" s="330"/>
      <c r="E24" s="330"/>
      <c r="G24" s="358" t="s">
        <v>78</v>
      </c>
      <c r="H24" s="359"/>
      <c r="I24" s="359" t="s">
        <v>228</v>
      </c>
      <c r="J24" s="359"/>
      <c r="K24" s="359" t="s">
        <v>228</v>
      </c>
    </row>
    <row r="25" spans="1:11" x14ac:dyDescent="0.25">
      <c r="A25" s="351"/>
      <c r="B25" s="330"/>
      <c r="C25" s="330"/>
      <c r="D25" s="330"/>
      <c r="E25" s="330"/>
      <c r="G25" s="358" t="s">
        <v>359</v>
      </c>
      <c r="H25" s="359"/>
      <c r="I25" s="359" t="s">
        <v>228</v>
      </c>
      <c r="J25" s="359" t="s">
        <v>228</v>
      </c>
      <c r="K25" s="359"/>
    </row>
    <row r="26" spans="1:11" x14ac:dyDescent="0.25">
      <c r="A26" s="351"/>
      <c r="B26" s="330"/>
      <c r="C26" s="330"/>
      <c r="D26" s="330"/>
      <c r="E26" s="330"/>
      <c r="G26" s="358" t="s">
        <v>378</v>
      </c>
      <c r="H26" s="359"/>
      <c r="I26" s="359" t="s">
        <v>228</v>
      </c>
      <c r="J26" s="359" t="s">
        <v>228</v>
      </c>
      <c r="K26" s="359"/>
    </row>
    <row r="27" spans="1:11" x14ac:dyDescent="0.25">
      <c r="A27" s="351"/>
      <c r="B27" s="330"/>
      <c r="C27" s="330"/>
      <c r="D27" s="330"/>
      <c r="E27" s="330"/>
      <c r="G27" s="358" t="s">
        <v>363</v>
      </c>
      <c r="H27" s="359"/>
      <c r="I27" s="359" t="s">
        <v>228</v>
      </c>
      <c r="J27" s="359" t="s">
        <v>228</v>
      </c>
      <c r="K27" s="359"/>
    </row>
    <row r="28" spans="1:11" x14ac:dyDescent="0.25">
      <c r="A28" s="351"/>
      <c r="B28" s="330"/>
      <c r="C28" s="330"/>
      <c r="D28" s="330"/>
      <c r="E28" s="330"/>
      <c r="G28" s="358" t="s">
        <v>80</v>
      </c>
      <c r="H28" s="359"/>
      <c r="I28" s="359" t="s">
        <v>228</v>
      </c>
      <c r="J28" s="359" t="s">
        <v>228</v>
      </c>
      <c r="K28" s="359"/>
    </row>
    <row r="29" spans="1:11" x14ac:dyDescent="0.25">
      <c r="A29" s="351"/>
      <c r="B29" s="330"/>
      <c r="C29" s="330"/>
      <c r="D29" s="330"/>
      <c r="E29" s="330"/>
      <c r="G29" s="358" t="s">
        <v>365</v>
      </c>
      <c r="H29" s="359"/>
      <c r="I29" s="359" t="s">
        <v>228</v>
      </c>
      <c r="J29" s="359" t="s">
        <v>228</v>
      </c>
      <c r="K29" s="359"/>
    </row>
    <row r="30" spans="1:11" x14ac:dyDescent="0.25">
      <c r="A30" s="351"/>
      <c r="B30" s="330"/>
      <c r="C30" s="330"/>
      <c r="D30" s="330"/>
      <c r="E30" s="330"/>
      <c r="G30" s="358" t="s">
        <v>367</v>
      </c>
      <c r="H30" s="359"/>
      <c r="I30" s="359" t="s">
        <v>228</v>
      </c>
      <c r="J30" s="359" t="s">
        <v>228</v>
      </c>
      <c r="K30" s="359"/>
    </row>
    <row r="31" spans="1:11" x14ac:dyDescent="0.25">
      <c r="A31" s="351"/>
      <c r="B31" s="330"/>
      <c r="C31" s="330"/>
      <c r="D31" s="330"/>
      <c r="E31" s="330"/>
      <c r="G31" s="358" t="s">
        <v>81</v>
      </c>
      <c r="H31" s="359"/>
      <c r="I31" s="359" t="s">
        <v>228</v>
      </c>
      <c r="J31" s="359" t="s">
        <v>228</v>
      </c>
      <c r="K31" s="359"/>
    </row>
    <row r="32" spans="1:11" x14ac:dyDescent="0.25">
      <c r="A32" s="351"/>
      <c r="B32" s="330"/>
      <c r="C32" s="330"/>
      <c r="D32" s="330"/>
      <c r="E32" s="330"/>
      <c r="G32" s="358" t="s">
        <v>82</v>
      </c>
      <c r="H32" s="359"/>
      <c r="I32" s="359" t="s">
        <v>228</v>
      </c>
      <c r="J32" s="359" t="s">
        <v>228</v>
      </c>
      <c r="K32" s="359"/>
    </row>
    <row r="33" spans="1:11" x14ac:dyDescent="0.25">
      <c r="A33" s="351"/>
      <c r="B33" s="330"/>
      <c r="C33" s="330"/>
      <c r="D33" s="330"/>
      <c r="E33" s="330"/>
      <c r="G33" s="358" t="s">
        <v>366</v>
      </c>
      <c r="H33" s="359" t="s">
        <v>228</v>
      </c>
      <c r="I33" s="359"/>
      <c r="J33" s="359" t="s">
        <v>228</v>
      </c>
      <c r="K33" s="359"/>
    </row>
    <row r="34" spans="1:11" x14ac:dyDescent="0.25">
      <c r="A34" s="351"/>
      <c r="B34" s="330"/>
      <c r="C34" s="330"/>
      <c r="D34" s="330"/>
      <c r="E34" s="330"/>
      <c r="G34" s="355" t="s">
        <v>357</v>
      </c>
      <c r="H34" s="357"/>
      <c r="I34" s="357"/>
      <c r="J34" s="357"/>
      <c r="K34" s="357"/>
    </row>
    <row r="35" spans="1:11" x14ac:dyDescent="0.25">
      <c r="A35" s="351"/>
      <c r="B35" s="330"/>
      <c r="C35" s="330"/>
      <c r="D35" s="330"/>
      <c r="E35" s="330"/>
      <c r="G35" s="358" t="s">
        <v>76</v>
      </c>
      <c r="H35" s="359"/>
      <c r="I35" s="359" t="s">
        <v>228</v>
      </c>
      <c r="J35" s="359" t="s">
        <v>228</v>
      </c>
      <c r="K35" s="359"/>
    </row>
    <row r="36" spans="1:11" x14ac:dyDescent="0.25">
      <c r="A36" s="351"/>
      <c r="B36" s="330"/>
      <c r="C36" s="330"/>
      <c r="D36" s="330"/>
      <c r="E36" s="330"/>
      <c r="G36" s="358" t="s">
        <v>377</v>
      </c>
      <c r="H36" s="359"/>
      <c r="I36" s="359" t="s">
        <v>228</v>
      </c>
      <c r="J36" s="359" t="s">
        <v>228</v>
      </c>
      <c r="K36" s="359"/>
    </row>
    <row r="37" spans="1:11" x14ac:dyDescent="0.25">
      <c r="A37" s="351"/>
      <c r="B37" s="330"/>
      <c r="C37" s="330"/>
      <c r="D37" s="330"/>
      <c r="E37" s="330"/>
      <c r="G37" s="358" t="s">
        <v>364</v>
      </c>
      <c r="H37" s="359"/>
      <c r="I37" s="359" t="s">
        <v>228</v>
      </c>
      <c r="J37" s="359" t="s">
        <v>228</v>
      </c>
      <c r="K37" s="359"/>
    </row>
    <row r="38" spans="1:11" x14ac:dyDescent="0.25">
      <c r="A38" s="351"/>
      <c r="B38" s="330"/>
      <c r="C38" s="330"/>
      <c r="D38" s="330"/>
      <c r="E38" s="330"/>
      <c r="G38" s="358" t="s">
        <v>78</v>
      </c>
      <c r="H38" s="359"/>
      <c r="I38" s="359" t="s">
        <v>228</v>
      </c>
      <c r="J38" s="359" t="s">
        <v>228</v>
      </c>
      <c r="K38" s="359"/>
    </row>
    <row r="39" spans="1:11" x14ac:dyDescent="0.25">
      <c r="A39" s="351"/>
      <c r="B39" s="330"/>
      <c r="C39" s="330"/>
      <c r="D39" s="330"/>
      <c r="E39" s="330"/>
      <c r="G39" s="358" t="s">
        <v>79</v>
      </c>
      <c r="H39" s="359"/>
      <c r="I39" s="359" t="s">
        <v>228</v>
      </c>
      <c r="J39" s="359" t="s">
        <v>228</v>
      </c>
      <c r="K39" s="359"/>
    </row>
    <row r="40" spans="1:11" x14ac:dyDescent="0.25">
      <c r="A40" s="351"/>
      <c r="B40" s="330"/>
      <c r="C40" s="330"/>
      <c r="D40" s="330"/>
      <c r="E40" s="330"/>
      <c r="G40" s="358" t="s">
        <v>80</v>
      </c>
      <c r="H40" s="359"/>
      <c r="I40" s="359" t="s">
        <v>228</v>
      </c>
      <c r="J40" s="359" t="s">
        <v>228</v>
      </c>
      <c r="K40" s="359"/>
    </row>
    <row r="41" spans="1:11" x14ac:dyDescent="0.25">
      <c r="A41" s="351"/>
      <c r="B41" s="330"/>
      <c r="C41" s="330"/>
      <c r="D41" s="330"/>
      <c r="E41" s="330"/>
      <c r="G41" s="358" t="s">
        <v>365</v>
      </c>
      <c r="H41" s="359"/>
      <c r="I41" s="359" t="s">
        <v>228</v>
      </c>
      <c r="J41" s="359" t="s">
        <v>228</v>
      </c>
      <c r="K41" s="359"/>
    </row>
    <row r="42" spans="1:11" x14ac:dyDescent="0.25">
      <c r="A42" s="351"/>
      <c r="B42" s="330"/>
      <c r="C42" s="330"/>
      <c r="D42" s="330"/>
      <c r="E42" s="330"/>
      <c r="G42" s="358" t="s">
        <v>367</v>
      </c>
      <c r="H42" s="359"/>
      <c r="I42" s="359" t="s">
        <v>228</v>
      </c>
      <c r="J42" s="359" t="s">
        <v>228</v>
      </c>
      <c r="K42" s="359"/>
    </row>
    <row r="43" spans="1:11" x14ac:dyDescent="0.25">
      <c r="A43" s="351"/>
      <c r="B43" s="330"/>
      <c r="C43" s="330"/>
      <c r="D43" s="330"/>
      <c r="E43" s="330"/>
      <c r="G43" s="358" t="s">
        <v>81</v>
      </c>
      <c r="H43" s="359"/>
      <c r="I43" s="359" t="s">
        <v>228</v>
      </c>
      <c r="J43" s="359" t="s">
        <v>228</v>
      </c>
      <c r="K43" s="359"/>
    </row>
    <row r="44" spans="1:11" x14ac:dyDescent="0.25">
      <c r="A44" s="351"/>
      <c r="B44" s="330"/>
      <c r="C44" s="330"/>
      <c r="D44" s="330"/>
      <c r="E44" s="330"/>
      <c r="G44" s="358" t="s">
        <v>168</v>
      </c>
      <c r="H44" s="359"/>
      <c r="I44" s="359" t="s">
        <v>228</v>
      </c>
      <c r="J44" s="359" t="s">
        <v>228</v>
      </c>
      <c r="K44" s="359"/>
    </row>
    <row r="45" spans="1:11" x14ac:dyDescent="0.25">
      <c r="A45" s="351"/>
      <c r="B45" s="330"/>
      <c r="C45" s="330"/>
      <c r="D45" s="330"/>
      <c r="E45" s="330"/>
      <c r="G45" s="358" t="s">
        <v>366</v>
      </c>
      <c r="H45" s="359" t="s">
        <v>228</v>
      </c>
      <c r="I45" s="359"/>
      <c r="J45" s="359" t="s">
        <v>228</v>
      </c>
      <c r="K45" s="359"/>
    </row>
    <row r="46" spans="1:11" x14ac:dyDescent="0.25">
      <c r="A46" s="351"/>
      <c r="B46" s="330"/>
      <c r="C46" s="330"/>
      <c r="D46" s="330"/>
      <c r="E46" s="330"/>
      <c r="G46" s="355" t="s">
        <v>358</v>
      </c>
      <c r="H46" s="357"/>
      <c r="I46" s="357"/>
      <c r="J46" s="357"/>
      <c r="K46" s="357"/>
    </row>
    <row r="47" spans="1:11" x14ac:dyDescent="0.25">
      <c r="A47" s="351"/>
      <c r="B47" s="330"/>
      <c r="C47" s="330"/>
      <c r="D47" s="330"/>
      <c r="E47" s="330"/>
      <c r="G47" s="358" t="s">
        <v>78</v>
      </c>
      <c r="H47" s="359"/>
      <c r="I47" s="359" t="s">
        <v>228</v>
      </c>
      <c r="J47" s="359" t="s">
        <v>228</v>
      </c>
      <c r="K47" s="359"/>
    </row>
    <row r="48" spans="1:11" x14ac:dyDescent="0.25">
      <c r="A48" s="351"/>
      <c r="B48" s="330"/>
      <c r="C48" s="330"/>
      <c r="D48" s="330"/>
      <c r="E48" s="330"/>
      <c r="G48" s="358" t="s">
        <v>81</v>
      </c>
      <c r="H48" s="359"/>
      <c r="I48" s="359" t="s">
        <v>228</v>
      </c>
      <c r="J48" s="359" t="s">
        <v>228</v>
      </c>
      <c r="K48" s="359"/>
    </row>
    <row r="49" spans="1:11" x14ac:dyDescent="0.25">
      <c r="A49" s="351"/>
      <c r="B49" s="330"/>
      <c r="C49" s="330"/>
      <c r="D49" s="330"/>
      <c r="E49" s="330"/>
      <c r="G49" s="358" t="s">
        <v>362</v>
      </c>
      <c r="H49" s="359"/>
      <c r="I49" s="359" t="s">
        <v>228</v>
      </c>
      <c r="J49" s="359" t="s">
        <v>228</v>
      </c>
      <c r="K49" s="359"/>
    </row>
    <row r="50" spans="1:11" x14ac:dyDescent="0.25">
      <c r="A50" s="351"/>
      <c r="B50" s="330"/>
      <c r="C50" s="330"/>
      <c r="D50" s="330"/>
      <c r="E50" s="330"/>
      <c r="G50" s="358" t="s">
        <v>366</v>
      </c>
      <c r="H50" s="359" t="s">
        <v>228</v>
      </c>
      <c r="I50" s="359"/>
      <c r="J50" s="359" t="s">
        <v>228</v>
      </c>
      <c r="K50" s="359"/>
    </row>
    <row r="51" spans="1:11" x14ac:dyDescent="0.25">
      <c r="A51" s="351"/>
      <c r="B51" s="330"/>
      <c r="C51" s="330"/>
      <c r="D51" s="330"/>
      <c r="E51" s="330"/>
    </row>
    <row r="52" spans="1:11" x14ac:dyDescent="0.25">
      <c r="A52" s="351"/>
      <c r="B52" s="330"/>
      <c r="C52" s="330"/>
      <c r="D52" s="330"/>
      <c r="E52" s="330"/>
    </row>
    <row r="53" spans="1:11" x14ac:dyDescent="0.25">
      <c r="A53" s="351"/>
      <c r="B53" s="330"/>
      <c r="C53" s="330"/>
      <c r="D53" s="330"/>
      <c r="E53" s="330"/>
    </row>
    <row r="54" spans="1:11" x14ac:dyDescent="0.25">
      <c r="A54" s="351"/>
      <c r="B54" s="330"/>
      <c r="C54" s="330"/>
      <c r="D54" s="330"/>
      <c r="E54" s="330"/>
    </row>
    <row r="55" spans="1:11" x14ac:dyDescent="0.25">
      <c r="A55" s="351"/>
      <c r="B55" s="330"/>
      <c r="C55" s="330"/>
      <c r="D55" s="330"/>
      <c r="E55" s="330"/>
    </row>
    <row r="56" spans="1:11" x14ac:dyDescent="0.25">
      <c r="A56" s="351"/>
      <c r="B56" s="330"/>
      <c r="C56" s="330"/>
      <c r="D56" s="330"/>
      <c r="E56" s="330"/>
    </row>
    <row r="57" spans="1:11" x14ac:dyDescent="0.25">
      <c r="A57" s="351"/>
      <c r="B57" s="330"/>
      <c r="C57" s="330"/>
      <c r="D57" s="330"/>
      <c r="E57" s="330"/>
    </row>
    <row r="58" spans="1:11" x14ac:dyDescent="0.25">
      <c r="A58" s="351"/>
      <c r="B58" s="330"/>
      <c r="C58" s="330"/>
      <c r="D58" s="330"/>
      <c r="E58" s="330"/>
    </row>
    <row r="59" spans="1:11" x14ac:dyDescent="0.25">
      <c r="A59" s="351"/>
      <c r="B59" s="330"/>
      <c r="C59" s="330"/>
      <c r="D59" s="330"/>
      <c r="E59" s="330"/>
    </row>
    <row r="60" spans="1:11" x14ac:dyDescent="0.25">
      <c r="A60" s="351"/>
      <c r="B60" s="330"/>
      <c r="C60" s="330"/>
      <c r="D60" s="330"/>
      <c r="E60" s="330"/>
    </row>
    <row r="61" spans="1:11" x14ac:dyDescent="0.25">
      <c r="A61" s="351"/>
      <c r="B61" s="330"/>
      <c r="C61" s="330"/>
      <c r="D61" s="330"/>
      <c r="E61" s="330"/>
    </row>
    <row r="62" spans="1:11" x14ac:dyDescent="0.25">
      <c r="A62" s="351"/>
      <c r="B62" s="330"/>
      <c r="C62" s="330"/>
      <c r="D62" s="330"/>
      <c r="E62" s="330"/>
    </row>
    <row r="63" spans="1:11" x14ac:dyDescent="0.25">
      <c r="A63" s="351"/>
      <c r="B63" s="330"/>
      <c r="C63" s="330"/>
      <c r="D63" s="330"/>
      <c r="E63" s="330"/>
    </row>
    <row r="64" spans="1:11" x14ac:dyDescent="0.25">
      <c r="A64" s="351"/>
      <c r="B64" s="330"/>
      <c r="C64" s="330"/>
      <c r="D64" s="330"/>
      <c r="E64" s="330"/>
    </row>
    <row r="65" spans="1:5" x14ac:dyDescent="0.25">
      <c r="A65" s="351"/>
      <c r="B65" s="330"/>
      <c r="C65" s="330"/>
      <c r="D65" s="330"/>
      <c r="E65" s="330"/>
    </row>
    <row r="66" spans="1:5" x14ac:dyDescent="0.25">
      <c r="A66" s="351"/>
      <c r="B66" s="330"/>
      <c r="C66" s="330"/>
      <c r="D66" s="330"/>
      <c r="E66" s="330"/>
    </row>
    <row r="67" spans="1:5" x14ac:dyDescent="0.25">
      <c r="A67" s="351"/>
      <c r="B67" s="330"/>
      <c r="C67" s="330"/>
      <c r="D67" s="330"/>
      <c r="E67" s="330"/>
    </row>
    <row r="68" spans="1:5" x14ac:dyDescent="0.25">
      <c r="A68" s="351"/>
      <c r="B68" s="330"/>
      <c r="C68" s="330"/>
      <c r="D68" s="330"/>
      <c r="E68" s="330"/>
    </row>
    <row r="69" spans="1:5" x14ac:dyDescent="0.25">
      <c r="A69" s="351"/>
      <c r="B69" s="330"/>
      <c r="C69" s="330"/>
      <c r="D69" s="330"/>
      <c r="E69" s="330"/>
    </row>
    <row r="70" spans="1:5" x14ac:dyDescent="0.25">
      <c r="A70" s="351"/>
      <c r="B70" s="330"/>
      <c r="C70" s="330"/>
      <c r="D70" s="330"/>
      <c r="E70" s="330"/>
    </row>
    <row r="71" spans="1:5" x14ac:dyDescent="0.25">
      <c r="A71" s="351"/>
      <c r="B71" s="330"/>
      <c r="C71" s="330"/>
      <c r="D71" s="330"/>
      <c r="E71" s="330"/>
    </row>
    <row r="72" spans="1:5" x14ac:dyDescent="0.25">
      <c r="A72" s="351"/>
      <c r="B72" s="330"/>
      <c r="C72" s="330"/>
      <c r="D72" s="330"/>
      <c r="E72" s="330"/>
    </row>
    <row r="73" spans="1:5" x14ac:dyDescent="0.25">
      <c r="A73" s="351"/>
      <c r="B73" s="330"/>
      <c r="C73" s="330"/>
      <c r="D73" s="330"/>
      <c r="E73" s="330"/>
    </row>
    <row r="74" spans="1:5" x14ac:dyDescent="0.25">
      <c r="A74" s="351"/>
      <c r="B74" s="330"/>
      <c r="C74" s="330"/>
      <c r="D74" s="330"/>
      <c r="E74" s="330"/>
    </row>
    <row r="75" spans="1:5" x14ac:dyDescent="0.25">
      <c r="A75" s="351"/>
      <c r="B75" s="330"/>
      <c r="C75" s="330"/>
      <c r="D75" s="330"/>
      <c r="E75" s="330"/>
    </row>
    <row r="76" spans="1:5" x14ac:dyDescent="0.25">
      <c r="A76" s="351"/>
      <c r="B76" s="330"/>
      <c r="C76" s="330"/>
      <c r="D76" s="330"/>
      <c r="E76" s="330"/>
    </row>
    <row r="77" spans="1:5" x14ac:dyDescent="0.25">
      <c r="A77" s="351"/>
      <c r="B77" s="330"/>
      <c r="C77" s="330"/>
      <c r="D77" s="330"/>
      <c r="E77" s="330"/>
    </row>
    <row r="78" spans="1:5" x14ac:dyDescent="0.25">
      <c r="A78" s="351"/>
      <c r="B78" s="330"/>
      <c r="C78" s="330"/>
      <c r="D78" s="330"/>
      <c r="E78" s="330"/>
    </row>
    <row r="79" spans="1:5" x14ac:dyDescent="0.25">
      <c r="A79" s="351"/>
      <c r="B79" s="330"/>
      <c r="C79" s="330"/>
      <c r="D79" s="330"/>
      <c r="E79" s="330"/>
    </row>
    <row r="80" spans="1:5" x14ac:dyDescent="0.25">
      <c r="A80" s="351"/>
      <c r="B80" s="330"/>
      <c r="C80" s="330"/>
      <c r="D80" s="330"/>
      <c r="E80" s="330"/>
    </row>
    <row r="81" spans="1:5" x14ac:dyDescent="0.25">
      <c r="A81" s="351"/>
      <c r="B81" s="330"/>
      <c r="C81" s="330"/>
      <c r="D81" s="330"/>
      <c r="E81" s="330"/>
    </row>
    <row r="82" spans="1:5" x14ac:dyDescent="0.25">
      <c r="A82" s="351"/>
      <c r="B82" s="330"/>
      <c r="C82" s="330"/>
      <c r="D82" s="330"/>
      <c r="E82" s="330"/>
    </row>
    <row r="83" spans="1:5" x14ac:dyDescent="0.25">
      <c r="A83" s="351"/>
      <c r="B83" s="330"/>
      <c r="C83" s="330"/>
      <c r="D83" s="330"/>
      <c r="E83" s="330"/>
    </row>
    <row r="84" spans="1:5" x14ac:dyDescent="0.25">
      <c r="A84" s="351"/>
      <c r="B84" s="330"/>
      <c r="C84" s="330"/>
      <c r="D84" s="330"/>
      <c r="E84" s="330"/>
    </row>
    <row r="85" spans="1:5" x14ac:dyDescent="0.25">
      <c r="A85" s="351"/>
      <c r="B85" s="330"/>
      <c r="C85" s="330"/>
      <c r="D85" s="330"/>
      <c r="E85" s="330"/>
    </row>
    <row r="86" spans="1:5" x14ac:dyDescent="0.25">
      <c r="A86" s="351"/>
      <c r="B86" s="330"/>
      <c r="C86" s="330"/>
      <c r="D86" s="330"/>
      <c r="E86" s="330"/>
    </row>
    <row r="87" spans="1:5" x14ac:dyDescent="0.25">
      <c r="A87" s="351"/>
      <c r="B87" s="330"/>
      <c r="C87" s="330"/>
      <c r="D87" s="330"/>
      <c r="E87" s="330"/>
    </row>
    <row r="88" spans="1:5" x14ac:dyDescent="0.25">
      <c r="A88" s="351"/>
      <c r="B88" s="330"/>
      <c r="C88" s="330"/>
      <c r="D88" s="330"/>
      <c r="E88" s="330"/>
    </row>
    <row r="89" spans="1:5" x14ac:dyDescent="0.25">
      <c r="A89" s="351"/>
      <c r="B89" s="330"/>
      <c r="C89" s="330"/>
      <c r="D89" s="330"/>
      <c r="E89" s="330"/>
    </row>
    <row r="90" spans="1:5" x14ac:dyDescent="0.25">
      <c r="A90" s="351"/>
      <c r="B90" s="330"/>
      <c r="C90" s="330"/>
      <c r="D90" s="330"/>
      <c r="E90" s="330"/>
    </row>
    <row r="91" spans="1:5" x14ac:dyDescent="0.25">
      <c r="A91" s="351"/>
      <c r="B91" s="330"/>
      <c r="C91" s="330"/>
      <c r="D91" s="330"/>
      <c r="E91" s="330"/>
    </row>
    <row r="92" spans="1:5" x14ac:dyDescent="0.25">
      <c r="A92" s="351"/>
      <c r="B92" s="330"/>
      <c r="C92" s="330"/>
      <c r="D92" s="330"/>
      <c r="E92" s="330"/>
    </row>
    <row r="93" spans="1:5" x14ac:dyDescent="0.25">
      <c r="A93" s="351"/>
      <c r="B93" s="330"/>
      <c r="C93" s="330"/>
      <c r="D93" s="330"/>
      <c r="E93" s="330"/>
    </row>
    <row r="94" spans="1:5" x14ac:dyDescent="0.25">
      <c r="A94" s="351"/>
      <c r="B94" s="330"/>
      <c r="C94" s="330"/>
      <c r="D94" s="330"/>
      <c r="E94" s="330"/>
    </row>
    <row r="95" spans="1:5" x14ac:dyDescent="0.25">
      <c r="A95" s="351"/>
      <c r="B95" s="330"/>
      <c r="C95" s="330"/>
      <c r="D95" s="330"/>
      <c r="E95" s="330"/>
    </row>
    <row r="96" spans="1:5" x14ac:dyDescent="0.25">
      <c r="A96" s="351"/>
      <c r="B96" s="330"/>
      <c r="C96" s="330"/>
      <c r="D96" s="330"/>
      <c r="E96" s="330"/>
    </row>
    <row r="97" spans="1:5" x14ac:dyDescent="0.25">
      <c r="A97" s="351"/>
      <c r="B97" s="330"/>
      <c r="C97" s="330"/>
      <c r="D97" s="330"/>
      <c r="E97" s="330"/>
    </row>
    <row r="98" spans="1:5" x14ac:dyDescent="0.25">
      <c r="A98" s="351"/>
      <c r="B98" s="330"/>
      <c r="C98" s="330"/>
      <c r="D98" s="330"/>
      <c r="E98" s="330"/>
    </row>
    <row r="99" spans="1:5" x14ac:dyDescent="0.25">
      <c r="A99" s="351"/>
      <c r="B99" s="330"/>
      <c r="C99" s="330"/>
      <c r="D99" s="330"/>
      <c r="E99" s="330"/>
    </row>
    <row r="100" spans="1:5" x14ac:dyDescent="0.25">
      <c r="A100" s="351"/>
      <c r="B100" s="330"/>
      <c r="C100" s="330"/>
      <c r="D100" s="330"/>
      <c r="E100" s="330"/>
    </row>
    <row r="101" spans="1:5" x14ac:dyDescent="0.25">
      <c r="A101" s="351"/>
      <c r="B101" s="330"/>
      <c r="C101" s="330"/>
      <c r="D101" s="330"/>
      <c r="E101" s="330"/>
    </row>
    <row r="102" spans="1:5" x14ac:dyDescent="0.25">
      <c r="A102" s="351"/>
      <c r="B102" s="330"/>
      <c r="C102" s="330"/>
      <c r="D102" s="330"/>
      <c r="E102" s="330"/>
    </row>
    <row r="103" spans="1:5" x14ac:dyDescent="0.25">
      <c r="A103" s="351"/>
      <c r="B103" s="330"/>
      <c r="C103" s="330"/>
      <c r="D103" s="330"/>
      <c r="E103" s="330"/>
    </row>
    <row r="104" spans="1:5" x14ac:dyDescent="0.25">
      <c r="A104" s="351"/>
      <c r="B104" s="330"/>
      <c r="C104" s="330"/>
      <c r="D104" s="330"/>
      <c r="E104" s="330"/>
    </row>
    <row r="105" spans="1:5" x14ac:dyDescent="0.25">
      <c r="A105" s="351"/>
      <c r="B105" s="330"/>
      <c r="C105" s="330"/>
      <c r="D105" s="330"/>
      <c r="E105" s="330"/>
    </row>
    <row r="106" spans="1:5" x14ac:dyDescent="0.25">
      <c r="A106" s="351"/>
      <c r="B106" s="330"/>
      <c r="C106" s="330"/>
      <c r="D106" s="330"/>
      <c r="E106" s="330"/>
    </row>
    <row r="107" spans="1:5" x14ac:dyDescent="0.25">
      <c r="A107" s="351"/>
      <c r="B107" s="330"/>
      <c r="C107" s="330"/>
      <c r="D107" s="330"/>
      <c r="E107" s="330"/>
    </row>
    <row r="108" spans="1:5" x14ac:dyDescent="0.25">
      <c r="A108" s="351"/>
      <c r="B108" s="330"/>
      <c r="C108" s="330"/>
      <c r="D108" s="330"/>
      <c r="E108" s="330"/>
    </row>
    <row r="109" spans="1:5" x14ac:dyDescent="0.25">
      <c r="A109" s="351"/>
      <c r="B109" s="330"/>
      <c r="C109" s="330"/>
      <c r="D109" s="330"/>
      <c r="E109" s="330"/>
    </row>
    <row r="110" spans="1:5" x14ac:dyDescent="0.25">
      <c r="A110" s="351"/>
      <c r="B110" s="330"/>
      <c r="C110" s="330"/>
      <c r="D110" s="330"/>
      <c r="E110" s="330"/>
    </row>
    <row r="111" spans="1:5" x14ac:dyDescent="0.25">
      <c r="A111" s="351"/>
      <c r="B111" s="330"/>
      <c r="C111" s="330"/>
      <c r="D111" s="330"/>
      <c r="E111" s="330"/>
    </row>
    <row r="112" spans="1:5" x14ac:dyDescent="0.25">
      <c r="A112" s="351"/>
      <c r="B112" s="330"/>
      <c r="C112" s="330"/>
      <c r="D112" s="330"/>
      <c r="E112" s="330"/>
    </row>
    <row r="113" spans="1:5" x14ac:dyDescent="0.25">
      <c r="A113" s="351"/>
      <c r="B113" s="330"/>
      <c r="C113" s="330"/>
      <c r="D113" s="330"/>
      <c r="E113" s="330"/>
    </row>
    <row r="114" spans="1:5" x14ac:dyDescent="0.25">
      <c r="A114" s="351"/>
      <c r="B114" s="330"/>
      <c r="C114" s="330"/>
      <c r="D114" s="330"/>
      <c r="E114" s="330"/>
    </row>
    <row r="115" spans="1:5" x14ac:dyDescent="0.25">
      <c r="A115" s="351"/>
      <c r="B115" s="330"/>
      <c r="C115" s="330"/>
      <c r="D115" s="330"/>
      <c r="E115" s="330"/>
    </row>
    <row r="116" spans="1:5" x14ac:dyDescent="0.25">
      <c r="A116" s="351"/>
      <c r="B116" s="330"/>
      <c r="C116" s="330"/>
      <c r="D116" s="330"/>
      <c r="E116" s="330"/>
    </row>
    <row r="117" spans="1:5" x14ac:dyDescent="0.25">
      <c r="A117" s="351"/>
      <c r="B117" s="330"/>
      <c r="C117" s="330"/>
      <c r="D117" s="330"/>
      <c r="E117" s="330"/>
    </row>
    <row r="118" spans="1:5" x14ac:dyDescent="0.25">
      <c r="A118" s="351"/>
      <c r="B118" s="330"/>
      <c r="C118" s="330"/>
      <c r="D118" s="330"/>
      <c r="E118" s="330"/>
    </row>
    <row r="119" spans="1:5" x14ac:dyDescent="0.25">
      <c r="A119" s="351"/>
      <c r="B119" s="330"/>
      <c r="C119" s="330"/>
      <c r="D119" s="330"/>
      <c r="E119" s="330"/>
    </row>
    <row r="120" spans="1:5" x14ac:dyDescent="0.25">
      <c r="A120" s="351"/>
      <c r="B120" s="330"/>
      <c r="C120" s="330"/>
      <c r="D120" s="330"/>
      <c r="E120" s="330"/>
    </row>
    <row r="121" spans="1:5" x14ac:dyDescent="0.25">
      <c r="A121" s="351"/>
      <c r="B121" s="330"/>
      <c r="C121" s="330"/>
      <c r="D121" s="330"/>
      <c r="E121" s="330"/>
    </row>
    <row r="122" spans="1:5" x14ac:dyDescent="0.25">
      <c r="A122" s="351"/>
      <c r="B122" s="330"/>
      <c r="C122" s="330"/>
      <c r="D122" s="330"/>
      <c r="E122" s="330"/>
    </row>
    <row r="123" spans="1:5" x14ac:dyDescent="0.25">
      <c r="A123" s="351"/>
      <c r="B123" s="330"/>
      <c r="C123" s="330"/>
      <c r="D123" s="330"/>
      <c r="E123" s="330"/>
    </row>
    <row r="124" spans="1:5" x14ac:dyDescent="0.25">
      <c r="A124" s="351"/>
      <c r="B124" s="330"/>
      <c r="C124" s="330"/>
      <c r="D124" s="330"/>
      <c r="E124" s="330"/>
    </row>
    <row r="125" spans="1:5" x14ac:dyDescent="0.25">
      <c r="A125" s="351"/>
      <c r="B125" s="330"/>
      <c r="C125" s="330"/>
      <c r="D125" s="330"/>
      <c r="E125" s="330"/>
    </row>
    <row r="126" spans="1:5" x14ac:dyDescent="0.25">
      <c r="A126" s="351"/>
      <c r="B126" s="330"/>
      <c r="C126" s="330"/>
      <c r="D126" s="330"/>
      <c r="E126" s="330"/>
    </row>
    <row r="127" spans="1:5" x14ac:dyDescent="0.25">
      <c r="A127" s="351"/>
      <c r="B127" s="330"/>
      <c r="C127" s="330"/>
      <c r="D127" s="330"/>
      <c r="E127" s="330"/>
    </row>
    <row r="128" spans="1:5" x14ac:dyDescent="0.25">
      <c r="A128" s="351"/>
      <c r="B128" s="330"/>
      <c r="C128" s="330"/>
      <c r="D128" s="330"/>
      <c r="E128" s="330"/>
    </row>
    <row r="129" spans="1:5" x14ac:dyDescent="0.25">
      <c r="A129" s="351"/>
      <c r="B129" s="330"/>
      <c r="C129" s="330"/>
      <c r="D129" s="330"/>
      <c r="E129" s="330"/>
    </row>
    <row r="130" spans="1:5" x14ac:dyDescent="0.25">
      <c r="A130" s="351"/>
      <c r="B130" s="330"/>
      <c r="C130" s="330"/>
      <c r="D130" s="330"/>
      <c r="E130" s="330"/>
    </row>
    <row r="131" spans="1:5" x14ac:dyDescent="0.25">
      <c r="A131" s="351"/>
      <c r="B131" s="330"/>
      <c r="C131" s="330"/>
      <c r="D131" s="330"/>
      <c r="E131" s="330"/>
    </row>
    <row r="132" spans="1:5" x14ac:dyDescent="0.25">
      <c r="A132" s="351"/>
      <c r="B132" s="330"/>
      <c r="C132" s="330"/>
      <c r="D132" s="330"/>
      <c r="E132" s="330"/>
    </row>
    <row r="133" spans="1:5" x14ac:dyDescent="0.25">
      <c r="A133" s="351"/>
      <c r="B133" s="330"/>
      <c r="C133" s="330"/>
      <c r="D133" s="330"/>
      <c r="E133" s="330"/>
    </row>
    <row r="134" spans="1:5" x14ac:dyDescent="0.25">
      <c r="A134" s="351"/>
      <c r="B134" s="330"/>
      <c r="C134" s="330"/>
      <c r="D134" s="330"/>
      <c r="E134" s="330"/>
    </row>
    <row r="135" spans="1:5" x14ac:dyDescent="0.25">
      <c r="A135" s="351"/>
      <c r="B135" s="330"/>
      <c r="C135" s="330"/>
      <c r="D135" s="330"/>
      <c r="E135" s="330"/>
    </row>
    <row r="136" spans="1:5" x14ac:dyDescent="0.25">
      <c r="A136" s="351"/>
      <c r="B136" s="330"/>
      <c r="C136" s="330"/>
      <c r="D136" s="330"/>
      <c r="E136" s="330"/>
    </row>
    <row r="137" spans="1:5" x14ac:dyDescent="0.25">
      <c r="A137" s="351"/>
      <c r="B137" s="330"/>
      <c r="C137" s="330"/>
      <c r="D137" s="330"/>
      <c r="E137" s="330"/>
    </row>
    <row r="138" spans="1:5" x14ac:dyDescent="0.25">
      <c r="A138" s="351"/>
      <c r="B138" s="330"/>
      <c r="C138" s="330"/>
      <c r="D138" s="330"/>
      <c r="E138" s="330"/>
    </row>
    <row r="139" spans="1:5" x14ac:dyDescent="0.25">
      <c r="A139" s="351"/>
      <c r="B139" s="330"/>
      <c r="C139" s="330"/>
      <c r="D139" s="330"/>
      <c r="E139" s="330"/>
    </row>
    <row r="140" spans="1:5" x14ac:dyDescent="0.25">
      <c r="A140" s="351"/>
      <c r="B140" s="330"/>
      <c r="C140" s="330"/>
      <c r="D140" s="330"/>
      <c r="E140" s="330"/>
    </row>
    <row r="141" spans="1:5" x14ac:dyDescent="0.25">
      <c r="A141" s="351"/>
      <c r="B141" s="330"/>
      <c r="C141" s="330"/>
      <c r="D141" s="330"/>
      <c r="E141" s="330"/>
    </row>
    <row r="142" spans="1:5" x14ac:dyDescent="0.25">
      <c r="A142" s="351"/>
      <c r="B142" s="330"/>
      <c r="C142" s="330"/>
      <c r="D142" s="330"/>
      <c r="E142" s="330"/>
    </row>
    <row r="143" spans="1:5" x14ac:dyDescent="0.25">
      <c r="A143" s="351"/>
      <c r="B143" s="330"/>
      <c r="C143" s="330"/>
      <c r="D143" s="330"/>
      <c r="E143" s="330"/>
    </row>
    <row r="144" spans="1:5" x14ac:dyDescent="0.25">
      <c r="A144" s="351"/>
      <c r="B144" s="330"/>
      <c r="C144" s="330"/>
      <c r="D144" s="330"/>
      <c r="E144" s="330"/>
    </row>
    <row r="145" spans="1:5" x14ac:dyDescent="0.25">
      <c r="A145" s="351"/>
      <c r="B145" s="330"/>
      <c r="C145" s="330"/>
      <c r="D145" s="330"/>
      <c r="E145" s="330"/>
    </row>
    <row r="146" spans="1:5" x14ac:dyDescent="0.25">
      <c r="A146" s="351"/>
      <c r="B146" s="330"/>
      <c r="C146" s="330"/>
      <c r="D146" s="330"/>
      <c r="E146" s="330"/>
    </row>
    <row r="147" spans="1:5" x14ac:dyDescent="0.25">
      <c r="A147" s="351"/>
      <c r="B147" s="330"/>
      <c r="C147" s="330"/>
      <c r="D147" s="330"/>
      <c r="E147" s="330"/>
    </row>
    <row r="148" spans="1:5" x14ac:dyDescent="0.25">
      <c r="A148" s="351"/>
      <c r="B148" s="330"/>
      <c r="C148" s="330"/>
      <c r="D148" s="330"/>
      <c r="E148" s="330"/>
    </row>
    <row r="149" spans="1:5" x14ac:dyDescent="0.25">
      <c r="A149" s="351"/>
      <c r="B149" s="330"/>
      <c r="C149" s="330"/>
      <c r="D149" s="330"/>
      <c r="E149" s="330"/>
    </row>
    <row r="150" spans="1:5" x14ac:dyDescent="0.25">
      <c r="A150" s="351"/>
      <c r="B150" s="330"/>
      <c r="C150" s="330"/>
      <c r="D150" s="330"/>
      <c r="E150" s="330"/>
    </row>
    <row r="151" spans="1:5" x14ac:dyDescent="0.25">
      <c r="A151" s="351"/>
      <c r="B151" s="330"/>
      <c r="C151" s="330"/>
      <c r="D151" s="330"/>
      <c r="E151" s="330"/>
    </row>
    <row r="152" spans="1:5" x14ac:dyDescent="0.25">
      <c r="A152" s="351"/>
      <c r="B152" s="330"/>
      <c r="C152" s="330"/>
      <c r="D152" s="330"/>
      <c r="E152" s="330"/>
    </row>
    <row r="153" spans="1:5" x14ac:dyDescent="0.25">
      <c r="A153" s="351"/>
      <c r="B153" s="330"/>
      <c r="C153" s="330"/>
      <c r="D153" s="330"/>
      <c r="E153" s="330"/>
    </row>
    <row r="154" spans="1:5" x14ac:dyDescent="0.25">
      <c r="A154" s="351"/>
      <c r="B154" s="330"/>
      <c r="C154" s="330"/>
      <c r="D154" s="330"/>
      <c r="E154" s="330"/>
    </row>
    <row r="155" spans="1:5" x14ac:dyDescent="0.25">
      <c r="A155" s="351"/>
      <c r="B155" s="330"/>
      <c r="C155" s="330"/>
      <c r="D155" s="330"/>
      <c r="E155" s="330"/>
    </row>
    <row r="156" spans="1:5" x14ac:dyDescent="0.25">
      <c r="A156" s="351"/>
      <c r="B156" s="330"/>
      <c r="C156" s="330"/>
      <c r="D156" s="330"/>
      <c r="E156" s="330"/>
    </row>
    <row r="157" spans="1:5" x14ac:dyDescent="0.25">
      <c r="A157" s="351"/>
      <c r="B157" s="330"/>
      <c r="C157" s="330"/>
      <c r="D157" s="330"/>
      <c r="E157" s="330"/>
    </row>
    <row r="158" spans="1:5" x14ac:dyDescent="0.25">
      <c r="A158" s="351"/>
      <c r="B158" s="330"/>
      <c r="C158" s="330"/>
      <c r="D158" s="330"/>
      <c r="E158" s="330"/>
    </row>
    <row r="159" spans="1:5" x14ac:dyDescent="0.25">
      <c r="A159" s="351"/>
      <c r="B159" s="330"/>
      <c r="C159" s="330"/>
      <c r="D159" s="330"/>
      <c r="E159" s="330"/>
    </row>
    <row r="160" spans="1:5" x14ac:dyDescent="0.25">
      <c r="A160" s="351"/>
      <c r="B160" s="330"/>
      <c r="C160" s="330"/>
      <c r="D160" s="330"/>
      <c r="E160" s="330"/>
    </row>
    <row r="161" spans="1:5" x14ac:dyDescent="0.25">
      <c r="A161" s="351"/>
      <c r="B161" s="330"/>
      <c r="C161" s="330"/>
      <c r="D161" s="330"/>
      <c r="E161" s="330"/>
    </row>
    <row r="162" spans="1:5" x14ac:dyDescent="0.25">
      <c r="A162" s="351"/>
      <c r="B162" s="330"/>
      <c r="C162" s="330"/>
      <c r="D162" s="330"/>
      <c r="E162" s="330"/>
    </row>
    <row r="163" spans="1:5" x14ac:dyDescent="0.25">
      <c r="A163" s="351"/>
      <c r="B163" s="330"/>
      <c r="C163" s="330"/>
      <c r="D163" s="330"/>
      <c r="E163" s="330"/>
    </row>
    <row r="164" spans="1:5" x14ac:dyDescent="0.25">
      <c r="A164" s="351"/>
      <c r="B164" s="330"/>
      <c r="C164" s="330"/>
      <c r="D164" s="330"/>
      <c r="E164" s="330"/>
    </row>
    <row r="165" spans="1:5" x14ac:dyDescent="0.25">
      <c r="A165" s="351"/>
      <c r="B165" s="330"/>
      <c r="C165" s="330"/>
      <c r="D165" s="330"/>
      <c r="E165" s="330"/>
    </row>
    <row r="166" spans="1:5" x14ac:dyDescent="0.25">
      <c r="A166" s="351"/>
      <c r="B166" s="330"/>
      <c r="C166" s="330"/>
      <c r="D166" s="330"/>
      <c r="E166" s="330"/>
    </row>
    <row r="167" spans="1:5" x14ac:dyDescent="0.25">
      <c r="A167" s="351"/>
      <c r="B167" s="330"/>
      <c r="C167" s="330"/>
      <c r="D167" s="330"/>
      <c r="E167" s="330"/>
    </row>
    <row r="168" spans="1:5" x14ac:dyDescent="0.25">
      <c r="A168" s="351"/>
      <c r="B168" s="330"/>
      <c r="C168" s="330"/>
      <c r="D168" s="330"/>
      <c r="E168" s="330"/>
    </row>
    <row r="169" spans="1:5" x14ac:dyDescent="0.25">
      <c r="A169" s="351"/>
      <c r="B169" s="330"/>
      <c r="C169" s="330"/>
      <c r="D169" s="330"/>
      <c r="E169" s="330"/>
    </row>
    <row r="170" spans="1:5" x14ac:dyDescent="0.25">
      <c r="A170" s="351"/>
      <c r="B170" s="330"/>
      <c r="C170" s="330"/>
      <c r="D170" s="330"/>
      <c r="E170" s="330"/>
    </row>
    <row r="171" spans="1:5" x14ac:dyDescent="0.25">
      <c r="A171" s="351"/>
      <c r="B171" s="330"/>
      <c r="C171" s="330"/>
      <c r="D171" s="330"/>
      <c r="E171" s="330"/>
    </row>
    <row r="172" spans="1:5" x14ac:dyDescent="0.25">
      <c r="A172" s="351"/>
      <c r="B172" s="330"/>
      <c r="C172" s="330"/>
      <c r="D172" s="330"/>
      <c r="E172" s="330"/>
    </row>
    <row r="173" spans="1:5" x14ac:dyDescent="0.25">
      <c r="A173" s="351"/>
      <c r="B173" s="330"/>
      <c r="C173" s="330"/>
      <c r="D173" s="330"/>
      <c r="E173" s="330"/>
    </row>
    <row r="174" spans="1:5" x14ac:dyDescent="0.25">
      <c r="A174" s="351"/>
      <c r="B174" s="330"/>
      <c r="C174" s="330"/>
      <c r="D174" s="330"/>
      <c r="E174" s="330"/>
    </row>
    <row r="175" spans="1:5" x14ac:dyDescent="0.25">
      <c r="A175" s="351"/>
      <c r="B175" s="330"/>
      <c r="C175" s="330"/>
      <c r="D175" s="330"/>
      <c r="E175" s="330"/>
    </row>
    <row r="176" spans="1:5" x14ac:dyDescent="0.25">
      <c r="A176" s="351"/>
      <c r="B176" s="330"/>
      <c r="C176" s="330"/>
      <c r="D176" s="330"/>
      <c r="E176" s="330"/>
    </row>
    <row r="177" spans="1:5" x14ac:dyDescent="0.25">
      <c r="A177" s="351"/>
      <c r="B177" s="330"/>
      <c r="C177" s="330"/>
      <c r="D177" s="330"/>
      <c r="E177" s="330"/>
    </row>
    <row r="178" spans="1:5" x14ac:dyDescent="0.25">
      <c r="A178" s="351"/>
      <c r="B178" s="330"/>
      <c r="C178" s="330"/>
      <c r="D178" s="330"/>
      <c r="E178" s="330"/>
    </row>
    <row r="179" spans="1:5" x14ac:dyDescent="0.25">
      <c r="A179" s="351"/>
      <c r="B179" s="330"/>
      <c r="C179" s="330"/>
      <c r="D179" s="330"/>
      <c r="E179" s="330"/>
    </row>
    <row r="180" spans="1:5" x14ac:dyDescent="0.25">
      <c r="A180" s="351"/>
      <c r="B180" s="330"/>
      <c r="C180" s="330"/>
      <c r="D180" s="330"/>
      <c r="E180" s="330"/>
    </row>
    <row r="181" spans="1:5" x14ac:dyDescent="0.25">
      <c r="A181" s="351"/>
      <c r="B181" s="330"/>
      <c r="C181" s="330"/>
      <c r="D181" s="330"/>
      <c r="E181" s="330"/>
    </row>
    <row r="182" spans="1:5" x14ac:dyDescent="0.25">
      <c r="A182" s="351"/>
      <c r="B182" s="330"/>
      <c r="C182" s="330"/>
      <c r="D182" s="330"/>
      <c r="E182" s="330"/>
    </row>
    <row r="183" spans="1:5" x14ac:dyDescent="0.25">
      <c r="A183" s="351"/>
      <c r="B183" s="330"/>
      <c r="C183" s="330"/>
      <c r="D183" s="330"/>
      <c r="E183" s="330"/>
    </row>
    <row r="184" spans="1:5" x14ac:dyDescent="0.25">
      <c r="A184" s="351"/>
      <c r="B184" s="330"/>
      <c r="C184" s="330"/>
      <c r="D184" s="330"/>
      <c r="E184" s="330"/>
    </row>
    <row r="185" spans="1:5" x14ac:dyDescent="0.25">
      <c r="A185" s="351"/>
      <c r="B185" s="330"/>
      <c r="C185" s="330"/>
      <c r="D185" s="330"/>
      <c r="E185" s="330"/>
    </row>
    <row r="186" spans="1:5" x14ac:dyDescent="0.25">
      <c r="A186" s="351"/>
      <c r="B186" s="330"/>
      <c r="C186" s="330"/>
      <c r="D186" s="330"/>
      <c r="E186" s="330"/>
    </row>
    <row r="187" spans="1:5" x14ac:dyDescent="0.25">
      <c r="A187" s="351"/>
      <c r="B187" s="330"/>
      <c r="C187" s="330"/>
      <c r="D187" s="330"/>
      <c r="E187" s="330"/>
    </row>
    <row r="188" spans="1:5" x14ac:dyDescent="0.25">
      <c r="A188" s="351"/>
      <c r="B188" s="330"/>
      <c r="C188" s="330"/>
      <c r="D188" s="330"/>
      <c r="E188" s="330"/>
    </row>
    <row r="189" spans="1:5" x14ac:dyDescent="0.25">
      <c r="A189" s="351"/>
      <c r="B189" s="330"/>
      <c r="C189" s="330"/>
      <c r="D189" s="330"/>
      <c r="E189" s="330"/>
    </row>
    <row r="190" spans="1:5" x14ac:dyDescent="0.25">
      <c r="A190" s="351"/>
      <c r="B190" s="330"/>
      <c r="C190" s="330"/>
      <c r="D190" s="330"/>
      <c r="E190" s="330"/>
    </row>
    <row r="191" spans="1:5" x14ac:dyDescent="0.25">
      <c r="A191" s="351"/>
      <c r="B191" s="330"/>
      <c r="C191" s="330"/>
      <c r="D191" s="330"/>
      <c r="E191" s="330"/>
    </row>
    <row r="192" spans="1:5" x14ac:dyDescent="0.25">
      <c r="A192" s="351"/>
      <c r="B192" s="330"/>
      <c r="C192" s="330"/>
      <c r="D192" s="330"/>
      <c r="E192" s="330"/>
    </row>
    <row r="193" spans="1:5" x14ac:dyDescent="0.25">
      <c r="A193" s="351"/>
      <c r="B193" s="330"/>
      <c r="C193" s="330"/>
      <c r="D193" s="330"/>
      <c r="E193" s="330"/>
    </row>
    <row r="194" spans="1:5" x14ac:dyDescent="0.25">
      <c r="A194" s="351"/>
      <c r="B194" s="330"/>
      <c r="C194" s="330"/>
      <c r="D194" s="330"/>
      <c r="E194" s="330"/>
    </row>
    <row r="195" spans="1:5" x14ac:dyDescent="0.25">
      <c r="A195" s="351"/>
      <c r="B195" s="330"/>
      <c r="C195" s="330"/>
      <c r="D195" s="330"/>
      <c r="E195" s="330"/>
    </row>
    <row r="196" spans="1:5" x14ac:dyDescent="0.25">
      <c r="A196" s="351"/>
      <c r="B196" s="330"/>
      <c r="C196" s="330"/>
      <c r="D196" s="330"/>
      <c r="E196" s="330"/>
    </row>
    <row r="197" spans="1:5" x14ac:dyDescent="0.25">
      <c r="A197" s="351"/>
      <c r="B197" s="330"/>
      <c r="C197" s="330"/>
      <c r="D197" s="330"/>
      <c r="E197" s="330"/>
    </row>
    <row r="198" spans="1:5" x14ac:dyDescent="0.25">
      <c r="A198" s="351"/>
      <c r="B198" s="330"/>
      <c r="C198" s="330"/>
      <c r="D198" s="330"/>
      <c r="E198" s="330"/>
    </row>
    <row r="199" spans="1:5" x14ac:dyDescent="0.25">
      <c r="A199" s="351"/>
      <c r="B199" s="330"/>
      <c r="C199" s="330"/>
      <c r="D199" s="330"/>
      <c r="E199" s="330"/>
    </row>
    <row r="200" spans="1:5" x14ac:dyDescent="0.25">
      <c r="A200" s="351"/>
      <c r="B200" s="330"/>
      <c r="C200" s="330"/>
      <c r="D200" s="330"/>
      <c r="E200" s="330"/>
    </row>
    <row r="201" spans="1:5" x14ac:dyDescent="0.25">
      <c r="A201" s="351"/>
      <c r="B201" s="330"/>
      <c r="C201" s="330"/>
      <c r="D201" s="330"/>
      <c r="E201" s="330"/>
    </row>
    <row r="202" spans="1:5" x14ac:dyDescent="0.25">
      <c r="A202" s="351"/>
      <c r="B202" s="330"/>
      <c r="C202" s="330"/>
      <c r="D202" s="330"/>
      <c r="E202" s="330"/>
    </row>
    <row r="203" spans="1:5" x14ac:dyDescent="0.25">
      <c r="A203" s="351"/>
      <c r="B203" s="330"/>
      <c r="C203" s="330"/>
      <c r="D203" s="330"/>
      <c r="E203" s="330"/>
    </row>
    <row r="204" spans="1:5" x14ac:dyDescent="0.25">
      <c r="A204" s="351"/>
      <c r="B204" s="330"/>
      <c r="C204" s="330"/>
      <c r="D204" s="330"/>
      <c r="E204" s="330"/>
    </row>
    <row r="205" spans="1:5" x14ac:dyDescent="0.25">
      <c r="A205" s="351"/>
      <c r="B205" s="330"/>
      <c r="C205" s="330"/>
      <c r="D205" s="330"/>
      <c r="E205" s="330"/>
    </row>
    <row r="206" spans="1:5" x14ac:dyDescent="0.25">
      <c r="A206" s="351"/>
      <c r="B206" s="330"/>
      <c r="C206" s="330"/>
      <c r="D206" s="330"/>
      <c r="E206" s="330"/>
    </row>
    <row r="207" spans="1:5" x14ac:dyDescent="0.25">
      <c r="A207" s="351"/>
      <c r="B207" s="330"/>
      <c r="C207" s="330"/>
      <c r="D207" s="330"/>
      <c r="E207" s="330"/>
    </row>
    <row r="208" spans="1:5" x14ac:dyDescent="0.25">
      <c r="A208" s="351"/>
      <c r="B208" s="330"/>
      <c r="C208" s="330"/>
      <c r="D208" s="330"/>
      <c r="E208" s="330"/>
    </row>
    <row r="209" spans="1:5" x14ac:dyDescent="0.25">
      <c r="A209" s="351"/>
      <c r="B209" s="330"/>
      <c r="C209" s="330"/>
      <c r="D209" s="330"/>
      <c r="E209" s="330"/>
    </row>
    <row r="210" spans="1:5" x14ac:dyDescent="0.25">
      <c r="A210" s="351"/>
      <c r="B210" s="330"/>
      <c r="C210" s="330"/>
      <c r="D210" s="330"/>
      <c r="E210" s="330"/>
    </row>
    <row r="211" spans="1:5" x14ac:dyDescent="0.25">
      <c r="A211" s="351"/>
      <c r="B211" s="330"/>
      <c r="C211" s="330"/>
      <c r="D211" s="330"/>
      <c r="E211" s="330"/>
    </row>
    <row r="212" spans="1:5" x14ac:dyDescent="0.25">
      <c r="A212" s="351"/>
      <c r="B212" s="330"/>
      <c r="C212" s="330"/>
      <c r="D212" s="330"/>
      <c r="E212" s="330"/>
    </row>
    <row r="213" spans="1:5" x14ac:dyDescent="0.25">
      <c r="A213" s="351"/>
      <c r="B213" s="330"/>
      <c r="C213" s="330"/>
      <c r="D213" s="330"/>
      <c r="E213" s="330"/>
    </row>
    <row r="214" spans="1:5" x14ac:dyDescent="0.25">
      <c r="A214" s="351"/>
      <c r="B214" s="330"/>
      <c r="C214" s="330"/>
      <c r="D214" s="330"/>
      <c r="E214" s="330"/>
    </row>
    <row r="215" spans="1:5" x14ac:dyDescent="0.25">
      <c r="A215" s="351"/>
      <c r="B215" s="330"/>
      <c r="C215" s="330"/>
      <c r="D215" s="330"/>
      <c r="E215" s="330"/>
    </row>
    <row r="216" spans="1:5" x14ac:dyDescent="0.25">
      <c r="A216" s="351"/>
      <c r="B216" s="330"/>
      <c r="C216" s="330"/>
      <c r="D216" s="330"/>
      <c r="E216" s="330"/>
    </row>
    <row r="217" spans="1:5" x14ac:dyDescent="0.25">
      <c r="A217" s="351"/>
      <c r="B217" s="330"/>
      <c r="C217" s="330"/>
      <c r="D217" s="330"/>
      <c r="E217" s="330"/>
    </row>
    <row r="218" spans="1:5" x14ac:dyDescent="0.25">
      <c r="A218" s="351"/>
      <c r="B218" s="330"/>
      <c r="C218" s="330"/>
      <c r="D218" s="330"/>
      <c r="E218" s="330"/>
    </row>
    <row r="219" spans="1:5" x14ac:dyDescent="0.25">
      <c r="A219" s="351"/>
      <c r="B219" s="330"/>
      <c r="C219" s="330"/>
      <c r="D219" s="330"/>
      <c r="E219" s="330"/>
    </row>
    <row r="220" spans="1:5" x14ac:dyDescent="0.25">
      <c r="A220" s="351"/>
      <c r="B220" s="330"/>
      <c r="C220" s="330"/>
      <c r="D220" s="330"/>
      <c r="E220" s="330"/>
    </row>
    <row r="221" spans="1:5" x14ac:dyDescent="0.25">
      <c r="A221" s="351"/>
      <c r="B221" s="330"/>
      <c r="C221" s="330"/>
      <c r="D221" s="330"/>
      <c r="E221" s="330"/>
    </row>
    <row r="222" spans="1:5" x14ac:dyDescent="0.25">
      <c r="A222" s="351"/>
      <c r="B222" s="330"/>
      <c r="C222" s="330"/>
      <c r="D222" s="330"/>
      <c r="E222" s="330"/>
    </row>
    <row r="223" spans="1:5" x14ac:dyDescent="0.25">
      <c r="A223" s="351"/>
      <c r="B223" s="330"/>
      <c r="C223" s="330"/>
      <c r="D223" s="330"/>
      <c r="E223" s="330"/>
    </row>
    <row r="224" spans="1:5" x14ac:dyDescent="0.25">
      <c r="A224" s="351"/>
      <c r="B224" s="330"/>
      <c r="C224" s="330"/>
      <c r="D224" s="330"/>
      <c r="E224" s="330"/>
    </row>
    <row r="225" spans="1:5" x14ac:dyDescent="0.25">
      <c r="A225" s="351"/>
      <c r="B225" s="330"/>
      <c r="C225" s="330"/>
      <c r="D225" s="330"/>
      <c r="E225" s="330"/>
    </row>
    <row r="226" spans="1:5" x14ac:dyDescent="0.25">
      <c r="A226" s="351"/>
      <c r="B226" s="330"/>
      <c r="C226" s="330"/>
      <c r="D226" s="330"/>
      <c r="E226" s="330"/>
    </row>
    <row r="227" spans="1:5" x14ac:dyDescent="0.25">
      <c r="A227" s="351"/>
      <c r="B227" s="330"/>
      <c r="C227" s="330"/>
      <c r="D227" s="330"/>
      <c r="E227" s="330"/>
    </row>
    <row r="228" spans="1:5" x14ac:dyDescent="0.25">
      <c r="A228" s="351"/>
      <c r="B228" s="330"/>
      <c r="C228" s="330"/>
      <c r="D228" s="330"/>
      <c r="E228" s="330"/>
    </row>
    <row r="229" spans="1:5" x14ac:dyDescent="0.25">
      <c r="A229" s="351"/>
      <c r="B229" s="330"/>
      <c r="C229" s="330"/>
      <c r="D229" s="330"/>
      <c r="E229" s="330"/>
    </row>
    <row r="230" spans="1:5" x14ac:dyDescent="0.25">
      <c r="A230" s="351"/>
      <c r="B230" s="330"/>
      <c r="C230" s="330"/>
      <c r="D230" s="330"/>
      <c r="E230" s="330"/>
    </row>
    <row r="231" spans="1:5" x14ac:dyDescent="0.25">
      <c r="A231" s="351"/>
      <c r="B231" s="330"/>
      <c r="C231" s="330"/>
      <c r="D231" s="330"/>
      <c r="E231" s="330"/>
    </row>
    <row r="232" spans="1:5" x14ac:dyDescent="0.25">
      <c r="A232" s="351"/>
      <c r="B232" s="330"/>
      <c r="C232" s="330"/>
      <c r="D232" s="330"/>
      <c r="E232" s="330"/>
    </row>
    <row r="233" spans="1:5" x14ac:dyDescent="0.25">
      <c r="A233" s="351"/>
      <c r="B233" s="330"/>
      <c r="C233" s="330"/>
      <c r="D233" s="330"/>
      <c r="E233" s="330"/>
    </row>
    <row r="234" spans="1:5" x14ac:dyDescent="0.25">
      <c r="A234" s="351"/>
      <c r="B234" s="330"/>
      <c r="C234" s="330"/>
      <c r="D234" s="330"/>
      <c r="E234" s="330"/>
    </row>
    <row r="235" spans="1:5" x14ac:dyDescent="0.25">
      <c r="A235" s="351"/>
      <c r="B235" s="330"/>
      <c r="C235" s="330"/>
      <c r="D235" s="330"/>
      <c r="E235" s="330"/>
    </row>
    <row r="236" spans="1:5" x14ac:dyDescent="0.25">
      <c r="A236" s="351"/>
      <c r="B236" s="330"/>
      <c r="C236" s="330"/>
      <c r="D236" s="330"/>
      <c r="E236" s="330"/>
    </row>
    <row r="237" spans="1:5" x14ac:dyDescent="0.25">
      <c r="A237" s="351"/>
      <c r="B237" s="330"/>
      <c r="C237" s="330"/>
      <c r="D237" s="330"/>
      <c r="E237" s="330"/>
    </row>
    <row r="238" spans="1:5" x14ac:dyDescent="0.25">
      <c r="A238" s="351"/>
      <c r="B238" s="330"/>
      <c r="C238" s="330"/>
      <c r="D238" s="330"/>
      <c r="E238" s="330"/>
    </row>
    <row r="239" spans="1:5" x14ac:dyDescent="0.25">
      <c r="A239" s="351"/>
      <c r="B239" s="330"/>
      <c r="C239" s="330"/>
      <c r="D239" s="330"/>
      <c r="E239" s="330"/>
    </row>
    <row r="240" spans="1:5" x14ac:dyDescent="0.25">
      <c r="A240" s="351"/>
      <c r="B240" s="330"/>
      <c r="C240" s="330"/>
      <c r="D240" s="330"/>
      <c r="E240" s="330"/>
    </row>
    <row r="241" spans="1:5" x14ac:dyDescent="0.25">
      <c r="A241" s="351"/>
      <c r="B241" s="330"/>
      <c r="C241" s="330"/>
      <c r="D241" s="330"/>
      <c r="E241" s="330"/>
    </row>
    <row r="242" spans="1:5" x14ac:dyDescent="0.25">
      <c r="A242" s="351"/>
      <c r="B242" s="330"/>
      <c r="C242" s="330"/>
      <c r="D242" s="330"/>
      <c r="E242" s="330"/>
    </row>
    <row r="243" spans="1:5" x14ac:dyDescent="0.25">
      <c r="A243" s="351"/>
      <c r="B243" s="330"/>
      <c r="C243" s="330"/>
      <c r="D243" s="330"/>
      <c r="E243" s="330"/>
    </row>
    <row r="244" spans="1:5" x14ac:dyDescent="0.25">
      <c r="A244" s="351"/>
      <c r="B244" s="330"/>
      <c r="C244" s="330"/>
      <c r="D244" s="330"/>
      <c r="E244" s="330"/>
    </row>
    <row r="245" spans="1:5" x14ac:dyDescent="0.25">
      <c r="A245" s="351"/>
      <c r="B245" s="330"/>
      <c r="C245" s="330"/>
      <c r="D245" s="330"/>
      <c r="E245" s="330"/>
    </row>
    <row r="246" spans="1:5" x14ac:dyDescent="0.25">
      <c r="A246" s="351"/>
      <c r="B246" s="330"/>
      <c r="C246" s="330"/>
      <c r="D246" s="330"/>
      <c r="E246" s="330"/>
    </row>
    <row r="247" spans="1:5" x14ac:dyDescent="0.25">
      <c r="A247" s="351"/>
      <c r="B247" s="330"/>
      <c r="C247" s="330"/>
      <c r="D247" s="330"/>
      <c r="E247" s="330"/>
    </row>
    <row r="248" spans="1:5" x14ac:dyDescent="0.25">
      <c r="A248" s="351"/>
      <c r="B248" s="330"/>
      <c r="C248" s="330"/>
      <c r="D248" s="330"/>
      <c r="E248" s="330"/>
    </row>
    <row r="249" spans="1:5" x14ac:dyDescent="0.25">
      <c r="A249" s="351"/>
      <c r="B249" s="330"/>
      <c r="C249" s="330"/>
      <c r="D249" s="330"/>
      <c r="E249" s="330"/>
    </row>
    <row r="250" spans="1:5" x14ac:dyDescent="0.25">
      <c r="A250" s="351"/>
      <c r="B250" s="330"/>
      <c r="C250" s="330"/>
      <c r="D250" s="330"/>
      <c r="E250" s="330"/>
    </row>
    <row r="251" spans="1:5" x14ac:dyDescent="0.25">
      <c r="A251" s="351"/>
      <c r="B251" s="330"/>
      <c r="C251" s="330"/>
      <c r="D251" s="330"/>
      <c r="E251" s="330"/>
    </row>
    <row r="252" spans="1:5" x14ac:dyDescent="0.25">
      <c r="A252" s="351"/>
      <c r="B252" s="330"/>
      <c r="C252" s="330"/>
      <c r="D252" s="330"/>
      <c r="E252" s="330"/>
    </row>
    <row r="253" spans="1:5" x14ac:dyDescent="0.25">
      <c r="A253" s="351"/>
      <c r="B253" s="330"/>
      <c r="C253" s="330"/>
      <c r="D253" s="330"/>
      <c r="E253" s="330"/>
    </row>
    <row r="254" spans="1:5" x14ac:dyDescent="0.25">
      <c r="A254" s="351"/>
      <c r="B254" s="330"/>
      <c r="C254" s="330"/>
      <c r="D254" s="330"/>
      <c r="E254" s="330"/>
    </row>
    <row r="255" spans="1:5" x14ac:dyDescent="0.25">
      <c r="A255" s="351"/>
      <c r="B255" s="330"/>
      <c r="C255" s="330"/>
      <c r="D255" s="330"/>
      <c r="E255" s="330"/>
    </row>
    <row r="256" spans="1:5" x14ac:dyDescent="0.25">
      <c r="A256" s="351"/>
      <c r="B256" s="330"/>
      <c r="C256" s="330"/>
      <c r="D256" s="330"/>
      <c r="E256" s="330"/>
    </row>
    <row r="257" spans="1:5" x14ac:dyDescent="0.25">
      <c r="A257" s="351"/>
      <c r="B257" s="330"/>
      <c r="C257" s="330"/>
      <c r="D257" s="330"/>
      <c r="E257" s="330"/>
    </row>
    <row r="258" spans="1:5" x14ac:dyDescent="0.25">
      <c r="A258" s="351"/>
      <c r="B258" s="330"/>
      <c r="C258" s="330"/>
      <c r="D258" s="330"/>
      <c r="E258" s="330"/>
    </row>
    <row r="259" spans="1:5" x14ac:dyDescent="0.25">
      <c r="A259" s="351"/>
      <c r="B259" s="330"/>
      <c r="C259" s="330"/>
      <c r="D259" s="330"/>
      <c r="E259" s="330"/>
    </row>
    <row r="260" spans="1:5" x14ac:dyDescent="0.25">
      <c r="A260" s="351"/>
      <c r="B260" s="330"/>
      <c r="C260" s="330"/>
      <c r="D260" s="330"/>
      <c r="E260" s="330"/>
    </row>
    <row r="261" spans="1:5" x14ac:dyDescent="0.25">
      <c r="A261" s="351"/>
      <c r="B261" s="330"/>
      <c r="C261" s="330"/>
      <c r="D261" s="330"/>
      <c r="E261" s="330"/>
    </row>
    <row r="262" spans="1:5" x14ac:dyDescent="0.25">
      <c r="A262" s="351"/>
      <c r="B262" s="330"/>
      <c r="C262" s="330"/>
      <c r="D262" s="330"/>
      <c r="E262" s="330"/>
    </row>
    <row r="263" spans="1:5" x14ac:dyDescent="0.25">
      <c r="A263" s="351"/>
      <c r="B263" s="330"/>
      <c r="C263" s="330"/>
      <c r="D263" s="330"/>
      <c r="E263" s="330"/>
    </row>
    <row r="264" spans="1:5" x14ac:dyDescent="0.25">
      <c r="A264" s="351"/>
      <c r="B264" s="330"/>
      <c r="C264" s="330"/>
      <c r="D264" s="330"/>
      <c r="E264" s="330"/>
    </row>
    <row r="265" spans="1:5" x14ac:dyDescent="0.25">
      <c r="A265" s="351"/>
      <c r="B265" s="330"/>
      <c r="C265" s="330"/>
      <c r="D265" s="330"/>
      <c r="E265" s="330"/>
    </row>
    <row r="266" spans="1:5" x14ac:dyDescent="0.25">
      <c r="A266" s="351"/>
      <c r="B266" s="330"/>
      <c r="C266" s="330"/>
      <c r="D266" s="330"/>
      <c r="E266" s="330"/>
    </row>
    <row r="267" spans="1:5" x14ac:dyDescent="0.25">
      <c r="A267" s="351"/>
      <c r="B267" s="330"/>
      <c r="C267" s="330"/>
      <c r="D267" s="330"/>
      <c r="E267" s="330"/>
    </row>
    <row r="268" spans="1:5" x14ac:dyDescent="0.25">
      <c r="A268" s="351"/>
      <c r="B268" s="330"/>
      <c r="C268" s="330"/>
      <c r="D268" s="330"/>
      <c r="E268" s="330"/>
    </row>
    <row r="269" spans="1:5" x14ac:dyDescent="0.25">
      <c r="A269" s="351"/>
      <c r="B269" s="330"/>
      <c r="C269" s="330"/>
      <c r="D269" s="330"/>
      <c r="E269" s="330"/>
    </row>
    <row r="270" spans="1:5" x14ac:dyDescent="0.25">
      <c r="A270" s="351"/>
      <c r="B270" s="330"/>
      <c r="C270" s="330"/>
      <c r="D270" s="330"/>
      <c r="E270" s="330"/>
    </row>
    <row r="271" spans="1:5" x14ac:dyDescent="0.25">
      <c r="A271" s="351"/>
      <c r="B271" s="330"/>
      <c r="C271" s="330"/>
      <c r="D271" s="330"/>
      <c r="E271" s="330"/>
    </row>
    <row r="272" spans="1:5" x14ac:dyDescent="0.25">
      <c r="A272" s="351"/>
      <c r="B272" s="330"/>
      <c r="C272" s="330"/>
      <c r="D272" s="330"/>
      <c r="E272" s="330"/>
    </row>
    <row r="273" spans="1:5" x14ac:dyDescent="0.25">
      <c r="A273" s="351"/>
      <c r="B273" s="330"/>
      <c r="C273" s="330"/>
      <c r="D273" s="330"/>
      <c r="E273" s="330"/>
    </row>
    <row r="274" spans="1:5" x14ac:dyDescent="0.25">
      <c r="A274" s="351"/>
      <c r="B274" s="330"/>
      <c r="C274" s="330"/>
      <c r="D274" s="330"/>
      <c r="E274" s="330"/>
    </row>
    <row r="275" spans="1:5" x14ac:dyDescent="0.25">
      <c r="A275" s="351"/>
      <c r="B275" s="330"/>
      <c r="C275" s="330"/>
      <c r="D275" s="330"/>
      <c r="E275" s="330"/>
    </row>
    <row r="276" spans="1:5" x14ac:dyDescent="0.25">
      <c r="A276" s="351"/>
      <c r="B276" s="330"/>
      <c r="C276" s="330"/>
      <c r="D276" s="330"/>
      <c r="E276" s="330"/>
    </row>
    <row r="277" spans="1:5" x14ac:dyDescent="0.25">
      <c r="A277" s="351"/>
      <c r="B277" s="330"/>
      <c r="C277" s="330"/>
      <c r="D277" s="330"/>
      <c r="E277" s="330"/>
    </row>
    <row r="278" spans="1:5" x14ac:dyDescent="0.25">
      <c r="A278" s="351"/>
      <c r="B278" s="330"/>
      <c r="C278" s="330"/>
      <c r="D278" s="330"/>
      <c r="E278" s="330"/>
    </row>
    <row r="279" spans="1:5" x14ac:dyDescent="0.25">
      <c r="A279" s="351"/>
      <c r="B279" s="330"/>
      <c r="C279" s="330"/>
      <c r="D279" s="330"/>
      <c r="E279" s="330"/>
    </row>
    <row r="280" spans="1:5" x14ac:dyDescent="0.25">
      <c r="A280" s="351"/>
      <c r="B280" s="330"/>
      <c r="C280" s="330"/>
      <c r="D280" s="330"/>
      <c r="E280" s="330"/>
    </row>
    <row r="281" spans="1:5" x14ac:dyDescent="0.25">
      <c r="A281" s="351"/>
      <c r="B281" s="330"/>
      <c r="C281" s="330"/>
      <c r="D281" s="330"/>
      <c r="E281" s="330"/>
    </row>
    <row r="282" spans="1:5" x14ac:dyDescent="0.25">
      <c r="A282" s="351"/>
      <c r="B282" s="330"/>
      <c r="C282" s="330"/>
      <c r="D282" s="330"/>
      <c r="E282" s="330"/>
    </row>
    <row r="283" spans="1:5" x14ac:dyDescent="0.25">
      <c r="A283" s="351"/>
      <c r="B283" s="330"/>
      <c r="C283" s="330"/>
      <c r="D283" s="330"/>
      <c r="E283" s="330"/>
    </row>
    <row r="284" spans="1:5" x14ac:dyDescent="0.25">
      <c r="A284" s="351"/>
      <c r="B284" s="330"/>
      <c r="C284" s="330"/>
      <c r="D284" s="330"/>
      <c r="E284" s="330"/>
    </row>
    <row r="285" spans="1:5" x14ac:dyDescent="0.25">
      <c r="A285" s="351"/>
      <c r="B285" s="330"/>
      <c r="C285" s="330"/>
      <c r="D285" s="330"/>
      <c r="E285" s="330"/>
    </row>
    <row r="286" spans="1:5" x14ac:dyDescent="0.25">
      <c r="A286" s="351"/>
      <c r="B286" s="330"/>
      <c r="C286" s="330"/>
      <c r="D286" s="330"/>
      <c r="E286" s="330"/>
    </row>
    <row r="287" spans="1:5" x14ac:dyDescent="0.25">
      <c r="A287" s="351"/>
      <c r="B287" s="330"/>
      <c r="C287" s="330"/>
      <c r="D287" s="330"/>
      <c r="E287" s="330"/>
    </row>
    <row r="288" spans="1:5" x14ac:dyDescent="0.25">
      <c r="A288" s="351"/>
      <c r="B288" s="330"/>
      <c r="C288" s="330"/>
      <c r="D288" s="330"/>
      <c r="E288" s="330"/>
    </row>
    <row r="289" spans="1:5" x14ac:dyDescent="0.25">
      <c r="A289" s="351"/>
      <c r="B289" s="330"/>
      <c r="C289" s="330"/>
      <c r="D289" s="330"/>
      <c r="E289" s="330"/>
    </row>
    <row r="290" spans="1:5" x14ac:dyDescent="0.25">
      <c r="A290" s="351"/>
      <c r="B290" s="330"/>
      <c r="C290" s="330"/>
      <c r="D290" s="330"/>
      <c r="E290" s="330"/>
    </row>
    <row r="291" spans="1:5" x14ac:dyDescent="0.25">
      <c r="A291" s="351"/>
      <c r="B291" s="330"/>
      <c r="C291" s="330"/>
      <c r="D291" s="330"/>
      <c r="E291" s="330"/>
    </row>
    <row r="292" spans="1:5" x14ac:dyDescent="0.25">
      <c r="A292" s="351"/>
      <c r="B292" s="330"/>
      <c r="C292" s="330"/>
      <c r="D292" s="330"/>
      <c r="E292" s="330"/>
    </row>
    <row r="293" spans="1:5" x14ac:dyDescent="0.25">
      <c r="A293" s="351"/>
      <c r="B293" s="330"/>
      <c r="C293" s="330"/>
      <c r="D293" s="330"/>
      <c r="E293" s="330"/>
    </row>
    <row r="294" spans="1:5" x14ac:dyDescent="0.25">
      <c r="A294" s="351"/>
      <c r="B294" s="330"/>
      <c r="C294" s="330"/>
      <c r="D294" s="330"/>
      <c r="E294" s="330"/>
    </row>
    <row r="295" spans="1:5" x14ac:dyDescent="0.25">
      <c r="A295" s="351"/>
      <c r="B295" s="330"/>
      <c r="C295" s="330"/>
      <c r="D295" s="330"/>
      <c r="E295" s="330"/>
    </row>
    <row r="296" spans="1:5" x14ac:dyDescent="0.25">
      <c r="A296" s="351"/>
      <c r="B296" s="330"/>
      <c r="C296" s="330"/>
      <c r="D296" s="330"/>
      <c r="E296" s="330"/>
    </row>
    <row r="297" spans="1:5" x14ac:dyDescent="0.25">
      <c r="A297" s="351"/>
      <c r="B297" s="330"/>
      <c r="C297" s="330"/>
      <c r="D297" s="330"/>
      <c r="E297" s="330"/>
    </row>
    <row r="298" spans="1:5" x14ac:dyDescent="0.25">
      <c r="A298" s="351"/>
      <c r="B298" s="330"/>
      <c r="C298" s="330"/>
      <c r="D298" s="330"/>
      <c r="E298" s="330"/>
    </row>
    <row r="299" spans="1:5" x14ac:dyDescent="0.25">
      <c r="A299" s="351"/>
      <c r="B299" s="330"/>
      <c r="C299" s="330"/>
      <c r="D299" s="330"/>
      <c r="E299" s="330"/>
    </row>
    <row r="300" spans="1:5" x14ac:dyDescent="0.25">
      <c r="A300" s="351"/>
      <c r="B300" s="330"/>
      <c r="C300" s="330"/>
      <c r="D300" s="330"/>
      <c r="E300" s="330"/>
    </row>
    <row r="301" spans="1:5" x14ac:dyDescent="0.25">
      <c r="A301" s="351"/>
      <c r="B301" s="330"/>
      <c r="C301" s="330"/>
      <c r="D301" s="330"/>
      <c r="E301" s="330"/>
    </row>
    <row r="302" spans="1:5" x14ac:dyDescent="0.25">
      <c r="A302" s="351"/>
      <c r="B302" s="330"/>
      <c r="C302" s="330"/>
      <c r="D302" s="330"/>
      <c r="E302" s="330"/>
    </row>
    <row r="303" spans="1:5" x14ac:dyDescent="0.25">
      <c r="A303" s="351"/>
      <c r="B303" s="330"/>
      <c r="C303" s="330"/>
      <c r="D303" s="330"/>
      <c r="E303" s="330"/>
    </row>
    <row r="304" spans="1:5" x14ac:dyDescent="0.25">
      <c r="A304" s="351"/>
      <c r="B304" s="330"/>
      <c r="C304" s="330"/>
      <c r="D304" s="330"/>
      <c r="E304" s="330"/>
    </row>
    <row r="305" spans="1:5" x14ac:dyDescent="0.25">
      <c r="A305" s="351"/>
      <c r="B305" s="330"/>
      <c r="C305" s="330"/>
      <c r="D305" s="330"/>
      <c r="E305" s="330"/>
    </row>
    <row r="306" spans="1:5" x14ac:dyDescent="0.25">
      <c r="A306" s="351"/>
      <c r="B306" s="330"/>
      <c r="C306" s="330"/>
      <c r="D306" s="330"/>
      <c r="E306" s="330"/>
    </row>
    <row r="307" spans="1:5" x14ac:dyDescent="0.25">
      <c r="A307" s="351"/>
      <c r="B307" s="330"/>
      <c r="C307" s="330"/>
      <c r="D307" s="330"/>
      <c r="E307" s="330"/>
    </row>
    <row r="308" spans="1:5" x14ac:dyDescent="0.25">
      <c r="A308" s="351"/>
      <c r="B308" s="330"/>
      <c r="C308" s="330"/>
      <c r="D308" s="330"/>
      <c r="E308" s="330"/>
    </row>
    <row r="309" spans="1:5" x14ac:dyDescent="0.25">
      <c r="A309" s="351"/>
      <c r="B309" s="330"/>
      <c r="C309" s="330"/>
      <c r="D309" s="330"/>
      <c r="E309" s="330"/>
    </row>
    <row r="310" spans="1:5" x14ac:dyDescent="0.25">
      <c r="A310" s="351"/>
      <c r="B310" s="330"/>
      <c r="C310" s="330"/>
      <c r="D310" s="330"/>
      <c r="E310" s="330"/>
    </row>
    <row r="311" spans="1:5" x14ac:dyDescent="0.25">
      <c r="A311" s="351"/>
      <c r="B311" s="330"/>
      <c r="C311" s="330"/>
      <c r="D311" s="330"/>
      <c r="E311" s="330"/>
    </row>
    <row r="312" spans="1:5" x14ac:dyDescent="0.25">
      <c r="A312" s="351"/>
      <c r="B312" s="330"/>
      <c r="C312" s="330"/>
      <c r="D312" s="330"/>
      <c r="E312" s="330"/>
    </row>
    <row r="313" spans="1:5" x14ac:dyDescent="0.25">
      <c r="A313" s="351"/>
      <c r="B313" s="330"/>
      <c r="C313" s="330"/>
      <c r="D313" s="330"/>
      <c r="E313" s="330"/>
    </row>
    <row r="314" spans="1:5" x14ac:dyDescent="0.25">
      <c r="A314" s="351"/>
      <c r="B314" s="330"/>
      <c r="C314" s="330"/>
      <c r="D314" s="330"/>
      <c r="E314" s="330"/>
    </row>
    <row r="315" spans="1:5" x14ac:dyDescent="0.25">
      <c r="A315" s="351"/>
      <c r="B315" s="330"/>
      <c r="C315" s="330"/>
      <c r="D315" s="330"/>
      <c r="E315" s="330"/>
    </row>
    <row r="316" spans="1:5" x14ac:dyDescent="0.25">
      <c r="A316" s="351"/>
      <c r="B316" s="330"/>
      <c r="C316" s="330"/>
      <c r="D316" s="330"/>
      <c r="E316" s="330"/>
    </row>
    <row r="317" spans="1:5" x14ac:dyDescent="0.25">
      <c r="A317" s="351"/>
      <c r="B317" s="330"/>
      <c r="C317" s="330"/>
      <c r="D317" s="330"/>
      <c r="E317" s="330"/>
    </row>
    <row r="318" spans="1:5" x14ac:dyDescent="0.25">
      <c r="A318" s="351"/>
      <c r="B318" s="330"/>
      <c r="C318" s="330"/>
      <c r="D318" s="330"/>
      <c r="E318" s="330"/>
    </row>
    <row r="319" spans="1:5" x14ac:dyDescent="0.25">
      <c r="A319" s="351"/>
      <c r="B319" s="330"/>
      <c r="C319" s="330"/>
      <c r="D319" s="330"/>
      <c r="E319" s="330"/>
    </row>
    <row r="320" spans="1:5" x14ac:dyDescent="0.25">
      <c r="A320" s="351"/>
      <c r="B320" s="330"/>
      <c r="C320" s="330"/>
      <c r="D320" s="330"/>
      <c r="E320" s="330"/>
    </row>
    <row r="321" spans="1:5" x14ac:dyDescent="0.25">
      <c r="A321" s="351"/>
      <c r="B321" s="330"/>
      <c r="C321" s="330"/>
      <c r="D321" s="330"/>
      <c r="E321" s="330"/>
    </row>
    <row r="322" spans="1:5" x14ac:dyDescent="0.25">
      <c r="A322" s="351"/>
      <c r="B322" s="330"/>
      <c r="C322" s="330"/>
      <c r="D322" s="330"/>
      <c r="E322" s="330"/>
    </row>
    <row r="323" spans="1:5" x14ac:dyDescent="0.25">
      <c r="A323" s="351"/>
      <c r="B323" s="330"/>
      <c r="C323" s="330"/>
      <c r="D323" s="330"/>
      <c r="E323" s="330"/>
    </row>
    <row r="324" spans="1:5" x14ac:dyDescent="0.25">
      <c r="A324" s="351"/>
      <c r="B324" s="330"/>
      <c r="C324" s="330"/>
      <c r="D324" s="330"/>
      <c r="E324" s="330"/>
    </row>
    <row r="325" spans="1:5" x14ac:dyDescent="0.25">
      <c r="A325" s="351"/>
      <c r="B325" s="330"/>
      <c r="C325" s="330"/>
      <c r="D325" s="330"/>
      <c r="E325" s="330"/>
    </row>
    <row r="326" spans="1:5" x14ac:dyDescent="0.25">
      <c r="A326" s="351"/>
      <c r="B326" s="330"/>
      <c r="C326" s="330"/>
      <c r="D326" s="330"/>
      <c r="E326" s="330"/>
    </row>
    <row r="327" spans="1:5" x14ac:dyDescent="0.25">
      <c r="A327" s="351"/>
      <c r="B327" s="330"/>
      <c r="C327" s="330"/>
      <c r="D327" s="330"/>
      <c r="E327" s="330"/>
    </row>
  </sheetData>
  <mergeCells count="4">
    <mergeCell ref="A1:E1"/>
    <mergeCell ref="A2:E2"/>
    <mergeCell ref="B3:E3"/>
    <mergeCell ref="G14:K14"/>
  </mergeCells>
  <printOptions horizontalCentered="1"/>
  <pageMargins left="0.7" right="0.7" top="0.75" bottom="0.75" header="0.3" footer="0.3"/>
  <pageSetup scale="6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9E82D-1AF1-4888-B8AB-38FCDD2E39CE}">
  <sheetPr>
    <tabColor theme="8" tint="0.79998168889431442"/>
    <pageSetUpPr fitToPage="1"/>
  </sheetPr>
  <dimension ref="A1:H31"/>
  <sheetViews>
    <sheetView showGridLines="0" zoomScaleNormal="100" workbookViewId="0">
      <selection activeCell="A5" sqref="A5"/>
    </sheetView>
  </sheetViews>
  <sheetFormatPr defaultRowHeight="13.2" x14ac:dyDescent="0.25"/>
  <cols>
    <col min="1" max="1" width="50.44140625" style="8" customWidth="1"/>
    <col min="2" max="2" width="41.5546875" style="8" customWidth="1"/>
    <col min="3" max="6" width="11.77734375" style="8" customWidth="1"/>
    <col min="7" max="7" width="19.6640625" style="8" customWidth="1"/>
    <col min="8" max="16384" width="8.88671875" style="8"/>
  </cols>
  <sheetData>
    <row r="1" spans="1:8" ht="54.6" customHeight="1" x14ac:dyDescent="0.25">
      <c r="A1" s="503" t="s">
        <v>372</v>
      </c>
      <c r="B1" s="503"/>
      <c r="C1" s="496"/>
      <c r="D1" s="496"/>
      <c r="E1" s="496"/>
      <c r="F1" s="496"/>
      <c r="G1" s="496"/>
    </row>
    <row r="2" spans="1:8" ht="42.6" customHeight="1" thickBot="1" x14ac:dyDescent="0.3">
      <c r="A2" s="566" t="s">
        <v>379</v>
      </c>
      <c r="B2" s="566"/>
      <c r="C2" s="566"/>
      <c r="D2" s="566"/>
      <c r="E2" s="566"/>
      <c r="F2" s="566"/>
      <c r="G2" s="566"/>
    </row>
    <row r="3" spans="1:8" s="270" customFormat="1" ht="30.6" customHeight="1" x14ac:dyDescent="0.25">
      <c r="A3" s="555" t="s">
        <v>380</v>
      </c>
      <c r="B3" s="567" t="s">
        <v>381</v>
      </c>
      <c r="C3" s="569" t="s">
        <v>382</v>
      </c>
      <c r="D3" s="569"/>
      <c r="E3" s="569"/>
      <c r="F3" s="569"/>
      <c r="G3" s="567" t="s">
        <v>383</v>
      </c>
      <c r="H3" s="360"/>
    </row>
    <row r="4" spans="1:8" s="270" customFormat="1" ht="24" customHeight="1" thickBot="1" x14ac:dyDescent="0.3">
      <c r="A4" s="556"/>
      <c r="B4" s="568"/>
      <c r="C4" s="361" t="s">
        <v>83</v>
      </c>
      <c r="D4" s="362" t="s">
        <v>84</v>
      </c>
      <c r="E4" s="362" t="s">
        <v>85</v>
      </c>
      <c r="F4" s="363" t="s">
        <v>86</v>
      </c>
      <c r="G4" s="568"/>
    </row>
    <row r="5" spans="1:8" ht="27" customHeight="1" x14ac:dyDescent="0.25">
      <c r="A5" s="364"/>
      <c r="B5" s="364"/>
      <c r="C5" s="365"/>
      <c r="D5" s="366"/>
      <c r="E5" s="366"/>
      <c r="F5" s="367"/>
      <c r="G5" s="368"/>
    </row>
    <row r="6" spans="1:8" ht="27" customHeight="1" x14ac:dyDescent="0.25">
      <c r="A6" s="369"/>
      <c r="B6" s="369"/>
      <c r="C6" s="370"/>
      <c r="D6" s="371"/>
      <c r="E6" s="371"/>
      <c r="F6" s="372"/>
      <c r="G6" s="373"/>
    </row>
    <row r="7" spans="1:8" ht="27" customHeight="1" x14ac:dyDescent="0.25">
      <c r="A7" s="369"/>
      <c r="B7" s="369"/>
      <c r="C7" s="374"/>
      <c r="D7" s="375"/>
      <c r="E7" s="375"/>
      <c r="F7" s="376"/>
      <c r="G7" s="373"/>
    </row>
    <row r="8" spans="1:8" ht="27" customHeight="1" x14ac:dyDescent="0.25">
      <c r="A8" s="369"/>
      <c r="B8" s="369"/>
      <c r="C8" s="374"/>
      <c r="D8" s="375"/>
      <c r="E8" s="375"/>
      <c r="F8" s="376"/>
      <c r="G8" s="373"/>
    </row>
    <row r="9" spans="1:8" ht="27" customHeight="1" x14ac:dyDescent="0.25">
      <c r="A9" s="369"/>
      <c r="B9" s="369"/>
      <c r="C9" s="374"/>
      <c r="D9" s="375"/>
      <c r="E9" s="375"/>
      <c r="F9" s="376"/>
      <c r="G9" s="373"/>
    </row>
    <row r="10" spans="1:8" ht="27" customHeight="1" thickBot="1" x14ac:dyDescent="0.3">
      <c r="A10" s="377"/>
      <c r="B10" s="378"/>
      <c r="C10" s="378"/>
      <c r="D10" s="378"/>
      <c r="E10" s="378"/>
      <c r="F10" s="379" t="s">
        <v>384</v>
      </c>
      <c r="G10" s="380">
        <f>SUM(G5:G9)</f>
        <v>0</v>
      </c>
    </row>
    <row r="11" spans="1:8" x14ac:dyDescent="0.25">
      <c r="A11" s="561" t="s">
        <v>385</v>
      </c>
      <c r="B11" s="561"/>
      <c r="C11" s="561"/>
      <c r="D11" s="561"/>
      <c r="E11" s="561"/>
      <c r="F11" s="561"/>
      <c r="G11" s="561"/>
    </row>
    <row r="12" spans="1:8" x14ac:dyDescent="0.25">
      <c r="B12" s="381"/>
      <c r="C12" s="381"/>
      <c r="D12" s="381"/>
      <c r="E12" s="381"/>
      <c r="F12" s="381"/>
      <c r="G12" s="381"/>
    </row>
    <row r="14" spans="1:8" ht="57.6" customHeight="1" thickBot="1" x14ac:dyDescent="0.3">
      <c r="A14" s="562" t="s">
        <v>474</v>
      </c>
      <c r="B14" s="562"/>
      <c r="C14" s="562"/>
      <c r="D14" s="562"/>
      <c r="E14" s="562"/>
      <c r="F14" s="562"/>
      <c r="G14" s="382"/>
    </row>
    <row r="15" spans="1:8" s="270" customFormat="1" ht="30.6" customHeight="1" x14ac:dyDescent="0.25">
      <c r="A15" s="555" t="s">
        <v>386</v>
      </c>
      <c r="B15" s="555" t="s">
        <v>387</v>
      </c>
      <c r="C15" s="555" t="s">
        <v>388</v>
      </c>
      <c r="D15" s="557"/>
      <c r="E15" s="557"/>
      <c r="F15" s="558"/>
      <c r="G15" s="360"/>
      <c r="H15" s="360"/>
    </row>
    <row r="16" spans="1:8" s="270" customFormat="1" ht="24" customHeight="1" thickBot="1" x14ac:dyDescent="0.3">
      <c r="A16" s="556"/>
      <c r="B16" s="556"/>
      <c r="C16" s="556"/>
      <c r="D16" s="559"/>
      <c r="E16" s="559"/>
      <c r="F16" s="560"/>
    </row>
    <row r="17" spans="1:8" ht="27" customHeight="1" x14ac:dyDescent="0.25">
      <c r="A17" s="364"/>
      <c r="B17" s="364"/>
      <c r="C17" s="563"/>
      <c r="D17" s="563"/>
      <c r="E17" s="563"/>
      <c r="F17" s="563"/>
    </row>
    <row r="18" spans="1:8" ht="27" customHeight="1" x14ac:dyDescent="0.25">
      <c r="A18" s="369"/>
      <c r="B18" s="369"/>
      <c r="C18" s="564"/>
      <c r="D18" s="564"/>
      <c r="E18" s="564"/>
      <c r="F18" s="564"/>
    </row>
    <row r="19" spans="1:8" ht="27" customHeight="1" x14ac:dyDescent="0.25">
      <c r="A19" s="369"/>
      <c r="B19" s="369"/>
      <c r="C19" s="564"/>
      <c r="D19" s="564"/>
      <c r="E19" s="564"/>
      <c r="F19" s="564"/>
    </row>
    <row r="20" spans="1:8" ht="27" customHeight="1" x14ac:dyDescent="0.25">
      <c r="A20" s="369"/>
      <c r="B20" s="369"/>
      <c r="C20" s="564"/>
      <c r="D20" s="564"/>
      <c r="E20" s="564"/>
      <c r="F20" s="564"/>
    </row>
    <row r="21" spans="1:8" ht="27" customHeight="1" thickBot="1" x14ac:dyDescent="0.3">
      <c r="A21" s="383"/>
      <c r="B21" s="383"/>
      <c r="C21" s="565"/>
      <c r="D21" s="565"/>
      <c r="E21" s="565"/>
      <c r="F21" s="565"/>
    </row>
    <row r="24" spans="1:8" ht="75.599999999999994" customHeight="1" thickBot="1" x14ac:dyDescent="0.3">
      <c r="A24" s="562" t="s">
        <v>475</v>
      </c>
      <c r="B24" s="562"/>
      <c r="C24" s="562"/>
      <c r="D24" s="562"/>
      <c r="E24" s="562"/>
      <c r="F24" s="562"/>
      <c r="G24" s="382"/>
    </row>
    <row r="25" spans="1:8" s="270" customFormat="1" ht="30.6" customHeight="1" x14ac:dyDescent="0.25">
      <c r="A25" s="555" t="s">
        <v>389</v>
      </c>
      <c r="B25" s="555" t="s">
        <v>387</v>
      </c>
      <c r="C25" s="555" t="s">
        <v>388</v>
      </c>
      <c r="D25" s="557"/>
      <c r="E25" s="557"/>
      <c r="F25" s="558"/>
      <c r="G25" s="384"/>
      <c r="H25" s="360"/>
    </row>
    <row r="26" spans="1:8" s="270" customFormat="1" ht="24" customHeight="1" thickBot="1" x14ac:dyDescent="0.3">
      <c r="A26" s="556"/>
      <c r="B26" s="556"/>
      <c r="C26" s="556"/>
      <c r="D26" s="559"/>
      <c r="E26" s="559"/>
      <c r="F26" s="560"/>
      <c r="G26" s="384"/>
    </row>
    <row r="27" spans="1:8" ht="27" customHeight="1" x14ac:dyDescent="0.25">
      <c r="A27" s="364"/>
      <c r="B27" s="385"/>
      <c r="C27" s="546"/>
      <c r="D27" s="547"/>
      <c r="E27" s="547"/>
      <c r="F27" s="548"/>
      <c r="G27" s="384"/>
    </row>
    <row r="28" spans="1:8" ht="27" customHeight="1" x14ac:dyDescent="0.25">
      <c r="A28" s="369"/>
      <c r="B28" s="386"/>
      <c r="C28" s="549"/>
      <c r="D28" s="550"/>
      <c r="E28" s="550"/>
      <c r="F28" s="551"/>
      <c r="G28" s="384"/>
    </row>
    <row r="29" spans="1:8" ht="27" customHeight="1" x14ac:dyDescent="0.25">
      <c r="A29" s="369"/>
      <c r="B29" s="386"/>
      <c r="C29" s="549"/>
      <c r="D29" s="550"/>
      <c r="E29" s="550"/>
      <c r="F29" s="551"/>
      <c r="G29" s="384"/>
    </row>
    <row r="30" spans="1:8" ht="27" customHeight="1" x14ac:dyDescent="0.25">
      <c r="A30" s="369"/>
      <c r="B30" s="386"/>
      <c r="C30" s="549"/>
      <c r="D30" s="550"/>
      <c r="E30" s="550"/>
      <c r="F30" s="551"/>
      <c r="G30" s="384"/>
    </row>
    <row r="31" spans="1:8" ht="27" customHeight="1" thickBot="1" x14ac:dyDescent="0.3">
      <c r="A31" s="383"/>
      <c r="B31" s="387"/>
      <c r="C31" s="552"/>
      <c r="D31" s="553"/>
      <c r="E31" s="553"/>
      <c r="F31" s="554"/>
      <c r="G31" s="384"/>
    </row>
  </sheetData>
  <mergeCells count="25">
    <mergeCell ref="A1:G1"/>
    <mergeCell ref="A2:G2"/>
    <mergeCell ref="A3:A4"/>
    <mergeCell ref="B3:B4"/>
    <mergeCell ref="C3:F3"/>
    <mergeCell ref="G3:G4"/>
    <mergeCell ref="A25:A26"/>
    <mergeCell ref="B25:B26"/>
    <mergeCell ref="C25:F26"/>
    <mergeCell ref="A11:G11"/>
    <mergeCell ref="A14:F14"/>
    <mergeCell ref="A15:A16"/>
    <mergeCell ref="B15:B16"/>
    <mergeCell ref="C15:F16"/>
    <mergeCell ref="C17:F17"/>
    <mergeCell ref="C18:F18"/>
    <mergeCell ref="C19:F19"/>
    <mergeCell ref="C20:F20"/>
    <mergeCell ref="C21:F21"/>
    <mergeCell ref="A24:F24"/>
    <mergeCell ref="C27:F27"/>
    <mergeCell ref="C28:F28"/>
    <mergeCell ref="C29:F29"/>
    <mergeCell ref="C30:F30"/>
    <mergeCell ref="C31:F31"/>
  </mergeCells>
  <printOptions horizontalCentered="1"/>
  <pageMargins left="0.75" right="0.75" top="1.06" bottom="1" header="0.5" footer="0.5"/>
  <pageSetup scale="57"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DE93-83CE-4B0F-8E6D-D816BEA9C324}">
  <sheetPr codeName="Sheet16">
    <tabColor theme="8" tint="0.79998168889431442"/>
    <pageSetUpPr fitToPage="1"/>
  </sheetPr>
  <dimension ref="A1:D13"/>
  <sheetViews>
    <sheetView showGridLines="0" workbookViewId="0">
      <selection activeCell="B17" sqref="B17"/>
    </sheetView>
  </sheetViews>
  <sheetFormatPr defaultRowHeight="13.2" x14ac:dyDescent="0.25"/>
  <cols>
    <col min="1" max="1" width="48.5546875" customWidth="1"/>
    <col min="2" max="2" width="36.33203125" customWidth="1"/>
  </cols>
  <sheetData>
    <row r="1" spans="1:4" ht="47.4" customHeight="1" x14ac:dyDescent="0.25">
      <c r="A1" s="596" t="s">
        <v>373</v>
      </c>
      <c r="B1" s="597"/>
    </row>
    <row r="2" spans="1:4" x14ac:dyDescent="0.25">
      <c r="B2" s="2"/>
      <c r="C2" s="2"/>
    </row>
    <row r="3" spans="1:4" x14ac:dyDescent="0.25">
      <c r="A3" s="598" t="s">
        <v>374</v>
      </c>
      <c r="B3" s="598"/>
      <c r="C3" s="2"/>
    </row>
    <row r="5" spans="1:4" ht="24.6" customHeight="1" x14ac:dyDescent="0.25">
      <c r="A5" s="126" t="s">
        <v>300</v>
      </c>
      <c r="B5" s="127"/>
      <c r="C5" s="7"/>
      <c r="D5" s="7"/>
    </row>
    <row r="6" spans="1:4" ht="24.6" customHeight="1" x14ac:dyDescent="0.25">
      <c r="A6" s="126" t="s">
        <v>302</v>
      </c>
      <c r="B6" s="336"/>
    </row>
    <row r="7" spans="1:4" ht="66.599999999999994" customHeight="1" x14ac:dyDescent="0.25">
      <c r="A7" s="599" t="s">
        <v>301</v>
      </c>
      <c r="B7" s="600"/>
    </row>
    <row r="8" spans="1:4" x14ac:dyDescent="0.25">
      <c r="A8" s="601"/>
      <c r="B8" s="602"/>
    </row>
    <row r="9" spans="1:4" x14ac:dyDescent="0.25">
      <c r="A9" s="603"/>
      <c r="B9" s="604"/>
    </row>
    <row r="10" spans="1:4" x14ac:dyDescent="0.25">
      <c r="A10" s="603"/>
      <c r="B10" s="604"/>
    </row>
    <row r="11" spans="1:4" x14ac:dyDescent="0.25">
      <c r="A11" s="603"/>
      <c r="B11" s="604"/>
    </row>
    <row r="12" spans="1:4" x14ac:dyDescent="0.25">
      <c r="A12" s="603"/>
      <c r="B12" s="604"/>
    </row>
    <row r="13" spans="1:4" x14ac:dyDescent="0.25">
      <c r="A13" s="605"/>
      <c r="B13" s="606"/>
    </row>
  </sheetData>
  <mergeCells count="4">
    <mergeCell ref="A1:B1"/>
    <mergeCell ref="A3:B3"/>
    <mergeCell ref="A7:B7"/>
    <mergeCell ref="A8:B13"/>
  </mergeCells>
  <printOptions horizontalCentered="1"/>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8EC1-8721-423D-AD6A-9734B9E7F6D1}">
  <sheetPr>
    <tabColor theme="8" tint="0.79998168889431442"/>
    <pageSetUpPr fitToPage="1"/>
  </sheetPr>
  <dimension ref="A1:AD30"/>
  <sheetViews>
    <sheetView showGridLines="0" zoomScale="89" zoomScaleNormal="89" workbookViewId="0">
      <pane xSplit="1" ySplit="4" topLeftCell="B5" activePane="bottomRight" state="frozen"/>
      <selection activeCell="A5" sqref="A5"/>
      <selection pane="topRight" activeCell="A5" sqref="A5"/>
      <selection pane="bottomLeft" activeCell="A5" sqref="A5"/>
      <selection pane="bottomRight" activeCell="A7" sqref="A7"/>
    </sheetView>
  </sheetViews>
  <sheetFormatPr defaultRowHeight="13.2" x14ac:dyDescent="0.25"/>
  <cols>
    <col min="1" max="1" width="48.6640625" style="8" customWidth="1"/>
    <col min="2" max="2" width="14.88671875" style="8" customWidth="1"/>
    <col min="3" max="4" width="15.44140625" style="8" customWidth="1"/>
    <col min="5" max="5" width="14.5546875" style="8" customWidth="1"/>
    <col min="6" max="6" width="37.5546875" style="8" customWidth="1"/>
    <col min="7" max="7" width="16.88671875" style="8" customWidth="1"/>
    <col min="8" max="8" width="12.44140625" style="8" customWidth="1"/>
    <col min="9" max="9" width="18.44140625" style="8" customWidth="1"/>
    <col min="10" max="11" width="9" style="8" customWidth="1"/>
    <col min="12" max="12" width="28.77734375" style="8" customWidth="1"/>
    <col min="13" max="16" width="9" style="8" customWidth="1"/>
    <col min="17" max="17" width="28.77734375" style="8" customWidth="1"/>
    <col min="18" max="19" width="9" style="8" customWidth="1"/>
    <col min="20" max="20" width="10.33203125" style="8" customWidth="1"/>
    <col min="21" max="21" width="7.77734375" style="8" customWidth="1"/>
    <col min="22" max="25" width="20.77734375" style="8" customWidth="1"/>
    <col min="26" max="26" width="12.6640625" style="8" customWidth="1"/>
    <col min="27" max="29" width="10.33203125" style="8" customWidth="1"/>
    <col min="30" max="30" width="9.33203125" style="8" customWidth="1"/>
    <col min="31" max="16384" width="8.88671875" style="8"/>
  </cols>
  <sheetData>
    <row r="1" spans="1:30" ht="47.4" customHeight="1" x14ac:dyDescent="0.25">
      <c r="A1" s="503" t="s">
        <v>473</v>
      </c>
      <c r="B1" s="503"/>
      <c r="C1" s="503"/>
      <c r="D1" s="503"/>
      <c r="E1" s="503"/>
      <c r="F1" s="503"/>
      <c r="G1" s="503"/>
      <c r="H1" s="503"/>
      <c r="I1" s="503"/>
      <c r="J1" s="503"/>
      <c r="K1" s="503"/>
      <c r="L1" s="503"/>
      <c r="M1" s="503"/>
      <c r="N1" s="503"/>
      <c r="O1" s="503"/>
      <c r="P1" s="503"/>
      <c r="Q1" s="503"/>
      <c r="R1" s="503"/>
      <c r="S1" s="503"/>
      <c r="T1" s="503"/>
      <c r="U1" s="503"/>
      <c r="V1" s="503"/>
      <c r="W1" s="503"/>
      <c r="X1" s="503"/>
      <c r="Y1" s="503"/>
      <c r="Z1" s="503"/>
      <c r="AA1" s="503"/>
      <c r="AB1" s="503"/>
      <c r="AC1" s="503"/>
      <c r="AD1" s="503"/>
    </row>
    <row r="2" spans="1:30" ht="19.8" customHeight="1" thickBot="1" x14ac:dyDescent="0.3">
      <c r="A2" s="573" t="s">
        <v>511</v>
      </c>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row>
    <row r="3" spans="1:30" ht="30" customHeight="1" x14ac:dyDescent="0.25">
      <c r="A3" s="574" t="s">
        <v>390</v>
      </c>
      <c r="B3" s="576" t="s">
        <v>391</v>
      </c>
      <c r="C3" s="577"/>
      <c r="D3" s="577"/>
      <c r="E3" s="578"/>
      <c r="F3" s="579" t="s">
        <v>388</v>
      </c>
      <c r="G3" s="581" t="s">
        <v>171</v>
      </c>
      <c r="H3" s="579" t="s">
        <v>392</v>
      </c>
      <c r="I3" s="579" t="s">
        <v>478</v>
      </c>
      <c r="J3" s="585" t="s">
        <v>169</v>
      </c>
      <c r="K3" s="586"/>
      <c r="L3" s="586"/>
      <c r="M3" s="586"/>
      <c r="N3" s="586"/>
      <c r="O3" s="587" t="s">
        <v>170</v>
      </c>
      <c r="P3" s="588"/>
      <c r="Q3" s="588"/>
      <c r="R3" s="588"/>
      <c r="S3" s="588"/>
      <c r="T3" s="589" t="s">
        <v>393</v>
      </c>
      <c r="U3" s="591" t="s">
        <v>259</v>
      </c>
      <c r="V3" s="593" t="s">
        <v>394</v>
      </c>
      <c r="W3" s="594"/>
      <c r="X3" s="594"/>
      <c r="Y3" s="595"/>
      <c r="Z3" s="570" t="s">
        <v>395</v>
      </c>
      <c r="AA3" s="571"/>
      <c r="AB3" s="571"/>
      <c r="AC3" s="572"/>
      <c r="AD3" s="583" t="s">
        <v>260</v>
      </c>
    </row>
    <row r="4" spans="1:30" ht="73.2" customHeight="1" thickBot="1" x14ac:dyDescent="0.3">
      <c r="A4" s="575"/>
      <c r="B4" s="388" t="s">
        <v>396</v>
      </c>
      <c r="C4" s="389" t="s">
        <v>397</v>
      </c>
      <c r="D4" s="389" t="s">
        <v>398</v>
      </c>
      <c r="E4" s="390" t="s">
        <v>399</v>
      </c>
      <c r="F4" s="580"/>
      <c r="G4" s="580"/>
      <c r="H4" s="582"/>
      <c r="I4" s="582"/>
      <c r="J4" s="391" t="s">
        <v>400</v>
      </c>
      <c r="K4" s="392" t="s">
        <v>401</v>
      </c>
      <c r="L4" s="392" t="s">
        <v>505</v>
      </c>
      <c r="M4" s="392" t="s">
        <v>402</v>
      </c>
      <c r="N4" s="393" t="s">
        <v>403</v>
      </c>
      <c r="O4" s="394" t="s">
        <v>404</v>
      </c>
      <c r="P4" s="394" t="s">
        <v>405</v>
      </c>
      <c r="Q4" s="394" t="s">
        <v>506</v>
      </c>
      <c r="R4" s="395" t="s">
        <v>406</v>
      </c>
      <c r="S4" s="394" t="s">
        <v>407</v>
      </c>
      <c r="T4" s="590"/>
      <c r="U4" s="592"/>
      <c r="V4" s="396" t="s">
        <v>507</v>
      </c>
      <c r="W4" s="396" t="s">
        <v>508</v>
      </c>
      <c r="X4" s="397" t="s">
        <v>509</v>
      </c>
      <c r="Y4" s="398" t="s">
        <v>510</v>
      </c>
      <c r="Z4" s="399" t="s">
        <v>408</v>
      </c>
      <c r="AA4" s="399" t="s">
        <v>409</v>
      </c>
      <c r="AB4" s="400" t="s">
        <v>410</v>
      </c>
      <c r="AC4" s="401" t="s">
        <v>411</v>
      </c>
      <c r="AD4" s="584"/>
    </row>
    <row r="5" spans="1:30" s="420" customFormat="1" ht="27" customHeight="1" x14ac:dyDescent="0.25">
      <c r="A5" s="402"/>
      <c r="B5" s="403"/>
      <c r="C5" s="404"/>
      <c r="D5" s="404"/>
      <c r="E5" s="405"/>
      <c r="F5" s="406"/>
      <c r="G5" s="406"/>
      <c r="H5" s="406"/>
      <c r="I5" s="406"/>
      <c r="J5" s="407"/>
      <c r="K5" s="408"/>
      <c r="L5" s="408"/>
      <c r="M5" s="408"/>
      <c r="N5" s="408"/>
      <c r="O5" s="409"/>
      <c r="P5" s="410"/>
      <c r="Q5" s="410"/>
      <c r="R5" s="410"/>
      <c r="S5" s="410"/>
      <c r="T5" s="411"/>
      <c r="U5" s="412"/>
      <c r="V5" s="413"/>
      <c r="W5" s="414"/>
      <c r="X5" s="414"/>
      <c r="Y5" s="415"/>
      <c r="Z5" s="416"/>
      <c r="AA5" s="417"/>
      <c r="AB5" s="417"/>
      <c r="AC5" s="418"/>
      <c r="AD5" s="419"/>
    </row>
    <row r="6" spans="1:30" s="420" customFormat="1" ht="27" customHeight="1" x14ac:dyDescent="0.25">
      <c r="A6" s="421"/>
      <c r="B6" s="262"/>
      <c r="C6" s="263"/>
      <c r="D6" s="263"/>
      <c r="E6" s="264"/>
      <c r="F6" s="422"/>
      <c r="G6" s="422"/>
      <c r="H6" s="422"/>
      <c r="I6" s="422"/>
      <c r="J6" s="423"/>
      <c r="K6" s="424"/>
      <c r="L6" s="424"/>
      <c r="M6" s="424"/>
      <c r="N6" s="424"/>
      <c r="O6" s="425"/>
      <c r="P6" s="426"/>
      <c r="Q6" s="426"/>
      <c r="R6" s="426"/>
      <c r="S6" s="426"/>
      <c r="T6" s="265"/>
      <c r="U6" s="427"/>
      <c r="V6" s="428"/>
      <c r="W6" s="429"/>
      <c r="X6" s="429"/>
      <c r="Y6" s="430"/>
      <c r="Z6" s="431"/>
      <c r="AA6" s="432"/>
      <c r="AB6" s="432"/>
      <c r="AC6" s="433"/>
      <c r="AD6" s="434"/>
    </row>
    <row r="7" spans="1:30" s="420" customFormat="1" ht="27" customHeight="1" x14ac:dyDescent="0.25">
      <c r="A7" s="421"/>
      <c r="B7" s="262"/>
      <c r="C7" s="263"/>
      <c r="D7" s="263"/>
      <c r="E7" s="264"/>
      <c r="F7" s="422"/>
      <c r="G7" s="422"/>
      <c r="H7" s="422"/>
      <c r="I7" s="422"/>
      <c r="J7" s="423"/>
      <c r="K7" s="424"/>
      <c r="L7" s="424"/>
      <c r="M7" s="424"/>
      <c r="N7" s="424"/>
      <c r="O7" s="425"/>
      <c r="P7" s="426"/>
      <c r="Q7" s="426"/>
      <c r="R7" s="426"/>
      <c r="S7" s="426"/>
      <c r="T7" s="265"/>
      <c r="U7" s="427"/>
      <c r="V7" s="428"/>
      <c r="W7" s="429"/>
      <c r="X7" s="429"/>
      <c r="Y7" s="430"/>
      <c r="Z7" s="431"/>
      <c r="AA7" s="432"/>
      <c r="AB7" s="432"/>
      <c r="AC7" s="433"/>
      <c r="AD7" s="434"/>
    </row>
    <row r="8" spans="1:30" s="420" customFormat="1" ht="27" customHeight="1" x14ac:dyDescent="0.25">
      <c r="A8" s="421"/>
      <c r="B8" s="262"/>
      <c r="C8" s="263"/>
      <c r="D8" s="263"/>
      <c r="E8" s="264"/>
      <c r="F8" s="422"/>
      <c r="G8" s="422"/>
      <c r="H8" s="422"/>
      <c r="I8" s="422"/>
      <c r="J8" s="423"/>
      <c r="K8" s="424"/>
      <c r="L8" s="424"/>
      <c r="M8" s="424"/>
      <c r="N8" s="424"/>
      <c r="O8" s="425"/>
      <c r="P8" s="426"/>
      <c r="Q8" s="426"/>
      <c r="R8" s="426"/>
      <c r="S8" s="426"/>
      <c r="T8" s="265"/>
      <c r="U8" s="427"/>
      <c r="V8" s="428"/>
      <c r="W8" s="429"/>
      <c r="X8" s="429"/>
      <c r="Y8" s="430"/>
      <c r="Z8" s="431"/>
      <c r="AA8" s="432"/>
      <c r="AB8" s="432"/>
      <c r="AC8" s="433"/>
      <c r="AD8" s="434"/>
    </row>
    <row r="9" spans="1:30" s="420" customFormat="1" ht="27" customHeight="1" x14ac:dyDescent="0.25">
      <c r="A9" s="421"/>
      <c r="B9" s="262"/>
      <c r="C9" s="263"/>
      <c r="D9" s="263"/>
      <c r="E9" s="264"/>
      <c r="F9" s="422"/>
      <c r="G9" s="422"/>
      <c r="H9" s="422"/>
      <c r="I9" s="422"/>
      <c r="J9" s="423"/>
      <c r="K9" s="424"/>
      <c r="L9" s="424"/>
      <c r="M9" s="424"/>
      <c r="N9" s="424"/>
      <c r="O9" s="425"/>
      <c r="P9" s="426"/>
      <c r="Q9" s="426"/>
      <c r="R9" s="426"/>
      <c r="S9" s="426"/>
      <c r="T9" s="265"/>
      <c r="U9" s="427"/>
      <c r="V9" s="428"/>
      <c r="W9" s="429"/>
      <c r="X9" s="429"/>
      <c r="Y9" s="430"/>
      <c r="Z9" s="431"/>
      <c r="AA9" s="432"/>
      <c r="AB9" s="432"/>
      <c r="AC9" s="433"/>
      <c r="AD9" s="434"/>
    </row>
    <row r="10" spans="1:30" s="420" customFormat="1" ht="27" customHeight="1" x14ac:dyDescent="0.25">
      <c r="A10" s="421"/>
      <c r="B10" s="262"/>
      <c r="C10" s="263"/>
      <c r="D10" s="263"/>
      <c r="E10" s="264"/>
      <c r="F10" s="422"/>
      <c r="G10" s="422"/>
      <c r="H10" s="422"/>
      <c r="I10" s="422"/>
      <c r="J10" s="423"/>
      <c r="K10" s="424"/>
      <c r="L10" s="424"/>
      <c r="M10" s="424"/>
      <c r="N10" s="424"/>
      <c r="O10" s="425"/>
      <c r="P10" s="426"/>
      <c r="Q10" s="426"/>
      <c r="R10" s="426"/>
      <c r="S10" s="426"/>
      <c r="T10" s="265"/>
      <c r="U10" s="427"/>
      <c r="V10" s="428"/>
      <c r="W10" s="429"/>
      <c r="X10" s="429"/>
      <c r="Y10" s="430"/>
      <c r="Z10" s="431"/>
      <c r="AA10" s="432"/>
      <c r="AB10" s="432"/>
      <c r="AC10" s="433"/>
      <c r="AD10" s="434"/>
    </row>
    <row r="11" spans="1:30" s="420" customFormat="1" ht="27" customHeight="1" x14ac:dyDescent="0.25">
      <c r="A11" s="421"/>
      <c r="B11" s="262"/>
      <c r="C11" s="263"/>
      <c r="D11" s="263"/>
      <c r="E11" s="264"/>
      <c r="F11" s="422"/>
      <c r="G11" s="422"/>
      <c r="H11" s="422"/>
      <c r="I11" s="422"/>
      <c r="J11" s="423"/>
      <c r="K11" s="424"/>
      <c r="L11" s="424"/>
      <c r="M11" s="424"/>
      <c r="N11" s="424"/>
      <c r="O11" s="425"/>
      <c r="P11" s="426"/>
      <c r="Q11" s="426"/>
      <c r="R11" s="426"/>
      <c r="S11" s="426"/>
      <c r="T11" s="265"/>
      <c r="U11" s="427"/>
      <c r="V11" s="428"/>
      <c r="W11" s="429"/>
      <c r="X11" s="429"/>
      <c r="Y11" s="430"/>
      <c r="Z11" s="431"/>
      <c r="AA11" s="432"/>
      <c r="AB11" s="432"/>
      <c r="AC11" s="433"/>
      <c r="AD11" s="434"/>
    </row>
    <row r="12" spans="1:30" s="420" customFormat="1" ht="27" customHeight="1" x14ac:dyDescent="0.25">
      <c r="A12" s="421"/>
      <c r="B12" s="262"/>
      <c r="C12" s="263"/>
      <c r="D12" s="263"/>
      <c r="E12" s="264"/>
      <c r="F12" s="422"/>
      <c r="G12" s="422"/>
      <c r="H12" s="422"/>
      <c r="I12" s="422"/>
      <c r="J12" s="423"/>
      <c r="K12" s="424"/>
      <c r="L12" s="424"/>
      <c r="M12" s="424"/>
      <c r="N12" s="424"/>
      <c r="O12" s="425"/>
      <c r="P12" s="426"/>
      <c r="Q12" s="426"/>
      <c r="R12" s="426"/>
      <c r="S12" s="426"/>
      <c r="T12" s="265"/>
      <c r="U12" s="427"/>
      <c r="V12" s="428"/>
      <c r="W12" s="429"/>
      <c r="X12" s="429"/>
      <c r="Y12" s="430"/>
      <c r="Z12" s="431"/>
      <c r="AA12" s="432"/>
      <c r="AB12" s="432"/>
      <c r="AC12" s="433"/>
      <c r="AD12" s="434"/>
    </row>
    <row r="13" spans="1:30" s="420" customFormat="1" ht="27" customHeight="1" x14ac:dyDescent="0.25">
      <c r="A13" s="421"/>
      <c r="B13" s="262"/>
      <c r="C13" s="263"/>
      <c r="D13" s="263"/>
      <c r="E13" s="264"/>
      <c r="F13" s="422"/>
      <c r="G13" s="422"/>
      <c r="H13" s="422"/>
      <c r="I13" s="422"/>
      <c r="J13" s="423"/>
      <c r="K13" s="424"/>
      <c r="L13" s="424"/>
      <c r="M13" s="424"/>
      <c r="N13" s="424"/>
      <c r="O13" s="425"/>
      <c r="P13" s="426"/>
      <c r="Q13" s="426"/>
      <c r="R13" s="426"/>
      <c r="S13" s="426"/>
      <c r="T13" s="265"/>
      <c r="U13" s="427"/>
      <c r="V13" s="428"/>
      <c r="W13" s="429"/>
      <c r="X13" s="429"/>
      <c r="Y13" s="430"/>
      <c r="Z13" s="431"/>
      <c r="AA13" s="432"/>
      <c r="AB13" s="432"/>
      <c r="AC13" s="433"/>
      <c r="AD13" s="434"/>
    </row>
    <row r="14" spans="1:30" s="420" customFormat="1" ht="27" customHeight="1" x14ac:dyDescent="0.25">
      <c r="A14" s="421"/>
      <c r="B14" s="262"/>
      <c r="C14" s="263"/>
      <c r="D14" s="263"/>
      <c r="E14" s="264"/>
      <c r="F14" s="422"/>
      <c r="G14" s="422"/>
      <c r="H14" s="422"/>
      <c r="I14" s="422"/>
      <c r="J14" s="423"/>
      <c r="K14" s="424"/>
      <c r="L14" s="424"/>
      <c r="M14" s="424"/>
      <c r="N14" s="424"/>
      <c r="O14" s="425"/>
      <c r="P14" s="426"/>
      <c r="Q14" s="426"/>
      <c r="R14" s="426"/>
      <c r="S14" s="426"/>
      <c r="T14" s="265"/>
      <c r="U14" s="427"/>
      <c r="V14" s="428"/>
      <c r="W14" s="429"/>
      <c r="X14" s="429"/>
      <c r="Y14" s="430"/>
      <c r="Z14" s="431"/>
      <c r="AA14" s="432"/>
      <c r="AB14" s="432"/>
      <c r="AC14" s="433"/>
      <c r="AD14" s="434"/>
    </row>
    <row r="15" spans="1:30" s="420" customFormat="1" ht="27" customHeight="1" x14ac:dyDescent="0.25">
      <c r="A15" s="421"/>
      <c r="B15" s="262"/>
      <c r="C15" s="263"/>
      <c r="D15" s="263"/>
      <c r="E15" s="264"/>
      <c r="F15" s="422"/>
      <c r="G15" s="422"/>
      <c r="H15" s="422"/>
      <c r="I15" s="422"/>
      <c r="J15" s="423"/>
      <c r="K15" s="424"/>
      <c r="L15" s="424"/>
      <c r="M15" s="424"/>
      <c r="N15" s="424"/>
      <c r="O15" s="425"/>
      <c r="P15" s="426"/>
      <c r="Q15" s="426"/>
      <c r="R15" s="426"/>
      <c r="S15" s="426"/>
      <c r="T15" s="265"/>
      <c r="U15" s="427"/>
      <c r="V15" s="428"/>
      <c r="W15" s="429"/>
      <c r="X15" s="429"/>
      <c r="Y15" s="430"/>
      <c r="Z15" s="431"/>
      <c r="AA15" s="432"/>
      <c r="AB15" s="432"/>
      <c r="AC15" s="433"/>
      <c r="AD15" s="434"/>
    </row>
    <row r="16" spans="1:30" s="420" customFormat="1" ht="27" customHeight="1" x14ac:dyDescent="0.25">
      <c r="A16" s="421"/>
      <c r="B16" s="262"/>
      <c r="C16" s="263"/>
      <c r="D16" s="263"/>
      <c r="E16" s="264"/>
      <c r="F16" s="422"/>
      <c r="G16" s="422"/>
      <c r="H16" s="422"/>
      <c r="I16" s="422"/>
      <c r="J16" s="423"/>
      <c r="K16" s="424"/>
      <c r="L16" s="424"/>
      <c r="M16" s="424"/>
      <c r="N16" s="424"/>
      <c r="O16" s="425"/>
      <c r="P16" s="426"/>
      <c r="Q16" s="426"/>
      <c r="R16" s="426"/>
      <c r="S16" s="426"/>
      <c r="T16" s="265"/>
      <c r="U16" s="427"/>
      <c r="V16" s="428"/>
      <c r="W16" s="429"/>
      <c r="X16" s="429"/>
      <c r="Y16" s="430"/>
      <c r="Z16" s="431"/>
      <c r="AA16" s="432"/>
      <c r="AB16" s="432"/>
      <c r="AC16" s="433"/>
      <c r="AD16" s="434"/>
    </row>
    <row r="17" spans="1:30" s="420" customFormat="1" ht="27" customHeight="1" x14ac:dyDescent="0.25">
      <c r="A17" s="421"/>
      <c r="B17" s="262"/>
      <c r="C17" s="263"/>
      <c r="D17" s="263"/>
      <c r="E17" s="264"/>
      <c r="F17" s="422"/>
      <c r="G17" s="422"/>
      <c r="H17" s="422"/>
      <c r="I17" s="422"/>
      <c r="J17" s="423"/>
      <c r="K17" s="424"/>
      <c r="L17" s="424"/>
      <c r="M17" s="424"/>
      <c r="N17" s="424"/>
      <c r="O17" s="425"/>
      <c r="P17" s="426"/>
      <c r="Q17" s="426"/>
      <c r="R17" s="426"/>
      <c r="S17" s="426"/>
      <c r="T17" s="265"/>
      <c r="U17" s="427"/>
      <c r="V17" s="428"/>
      <c r="W17" s="429"/>
      <c r="X17" s="429"/>
      <c r="Y17" s="430"/>
      <c r="Z17" s="431"/>
      <c r="AA17" s="432"/>
      <c r="AB17" s="432"/>
      <c r="AC17" s="433"/>
      <c r="AD17" s="434"/>
    </row>
    <row r="18" spans="1:30" s="420" customFormat="1" ht="27" customHeight="1" x14ac:dyDescent="0.25">
      <c r="A18" s="421"/>
      <c r="B18" s="262"/>
      <c r="C18" s="263"/>
      <c r="D18" s="263"/>
      <c r="E18" s="264"/>
      <c r="F18" s="422"/>
      <c r="G18" s="422"/>
      <c r="H18" s="422"/>
      <c r="I18" s="422"/>
      <c r="J18" s="423"/>
      <c r="K18" s="424"/>
      <c r="L18" s="424"/>
      <c r="M18" s="424"/>
      <c r="N18" s="424"/>
      <c r="O18" s="425"/>
      <c r="P18" s="426"/>
      <c r="Q18" s="426"/>
      <c r="R18" s="426"/>
      <c r="S18" s="426"/>
      <c r="T18" s="265"/>
      <c r="U18" s="427"/>
      <c r="V18" s="428"/>
      <c r="W18" s="429"/>
      <c r="X18" s="429"/>
      <c r="Y18" s="430"/>
      <c r="Z18" s="431"/>
      <c r="AA18" s="432"/>
      <c r="AB18" s="432"/>
      <c r="AC18" s="433"/>
      <c r="AD18" s="434"/>
    </row>
    <row r="19" spans="1:30" s="420" customFormat="1" ht="27" customHeight="1" x14ac:dyDescent="0.25">
      <c r="A19" s="421"/>
      <c r="B19" s="262"/>
      <c r="C19" s="263"/>
      <c r="D19" s="263"/>
      <c r="E19" s="264"/>
      <c r="F19" s="422"/>
      <c r="G19" s="422"/>
      <c r="H19" s="422"/>
      <c r="I19" s="422"/>
      <c r="J19" s="423"/>
      <c r="K19" s="424"/>
      <c r="L19" s="424"/>
      <c r="M19" s="424"/>
      <c r="N19" s="424"/>
      <c r="O19" s="425"/>
      <c r="P19" s="426"/>
      <c r="Q19" s="426"/>
      <c r="R19" s="426"/>
      <c r="S19" s="426"/>
      <c r="T19" s="265"/>
      <c r="U19" s="427"/>
      <c r="V19" s="428"/>
      <c r="W19" s="429"/>
      <c r="X19" s="429"/>
      <c r="Y19" s="430"/>
      <c r="Z19" s="431"/>
      <c r="AA19" s="432"/>
      <c r="AB19" s="432"/>
      <c r="AC19" s="433"/>
      <c r="AD19" s="434"/>
    </row>
    <row r="20" spans="1:30" s="420" customFormat="1" ht="27" customHeight="1" x14ac:dyDescent="0.25">
      <c r="A20" s="421"/>
      <c r="B20" s="262"/>
      <c r="C20" s="263"/>
      <c r="D20" s="263"/>
      <c r="E20" s="264"/>
      <c r="F20" s="422"/>
      <c r="G20" s="422"/>
      <c r="H20" s="422"/>
      <c r="I20" s="422"/>
      <c r="J20" s="423"/>
      <c r="K20" s="424"/>
      <c r="L20" s="424"/>
      <c r="M20" s="424"/>
      <c r="N20" s="424"/>
      <c r="O20" s="425"/>
      <c r="P20" s="426"/>
      <c r="Q20" s="426"/>
      <c r="R20" s="426"/>
      <c r="S20" s="426"/>
      <c r="T20" s="265"/>
      <c r="U20" s="427"/>
      <c r="V20" s="428"/>
      <c r="W20" s="429"/>
      <c r="X20" s="429"/>
      <c r="Y20" s="430"/>
      <c r="Z20" s="431"/>
      <c r="AA20" s="432"/>
      <c r="AB20" s="432"/>
      <c r="AC20" s="433"/>
      <c r="AD20" s="434"/>
    </row>
    <row r="21" spans="1:30" s="420" customFormat="1" ht="27" customHeight="1" x14ac:dyDescent="0.25">
      <c r="A21" s="421"/>
      <c r="B21" s="262"/>
      <c r="C21" s="263"/>
      <c r="D21" s="263"/>
      <c r="E21" s="264"/>
      <c r="F21" s="422"/>
      <c r="G21" s="422"/>
      <c r="H21" s="422"/>
      <c r="I21" s="422"/>
      <c r="J21" s="423"/>
      <c r="K21" s="424"/>
      <c r="L21" s="424"/>
      <c r="M21" s="424"/>
      <c r="N21" s="424"/>
      <c r="O21" s="425"/>
      <c r="P21" s="426"/>
      <c r="Q21" s="426"/>
      <c r="R21" s="426"/>
      <c r="S21" s="426"/>
      <c r="T21" s="265"/>
      <c r="U21" s="427"/>
      <c r="V21" s="428"/>
      <c r="W21" s="429"/>
      <c r="X21" s="429"/>
      <c r="Y21" s="430"/>
      <c r="Z21" s="431"/>
      <c r="AA21" s="432"/>
      <c r="AB21" s="432"/>
      <c r="AC21" s="433"/>
      <c r="AD21" s="434"/>
    </row>
    <row r="22" spans="1:30" s="420" customFormat="1" ht="27" customHeight="1" x14ac:dyDescent="0.25">
      <c r="A22" s="421"/>
      <c r="B22" s="262"/>
      <c r="C22" s="263"/>
      <c r="D22" s="263"/>
      <c r="E22" s="264"/>
      <c r="F22" s="422"/>
      <c r="G22" s="422"/>
      <c r="H22" s="422"/>
      <c r="I22" s="422"/>
      <c r="J22" s="423"/>
      <c r="K22" s="424"/>
      <c r="L22" s="424"/>
      <c r="M22" s="424"/>
      <c r="N22" s="424"/>
      <c r="O22" s="425"/>
      <c r="P22" s="426"/>
      <c r="Q22" s="426"/>
      <c r="R22" s="426"/>
      <c r="S22" s="426"/>
      <c r="T22" s="265"/>
      <c r="U22" s="427"/>
      <c r="V22" s="428"/>
      <c r="W22" s="429"/>
      <c r="X22" s="429"/>
      <c r="Y22" s="430"/>
      <c r="Z22" s="431"/>
      <c r="AA22" s="432"/>
      <c r="AB22" s="432"/>
      <c r="AC22" s="433"/>
      <c r="AD22" s="434"/>
    </row>
    <row r="23" spans="1:30" s="420" customFormat="1" ht="27" customHeight="1" x14ac:dyDescent="0.25">
      <c r="A23" s="421"/>
      <c r="B23" s="262"/>
      <c r="C23" s="263"/>
      <c r="D23" s="263"/>
      <c r="E23" s="264"/>
      <c r="F23" s="422"/>
      <c r="G23" s="422"/>
      <c r="H23" s="422"/>
      <c r="I23" s="422"/>
      <c r="J23" s="423"/>
      <c r="K23" s="424"/>
      <c r="L23" s="424"/>
      <c r="M23" s="424"/>
      <c r="N23" s="424"/>
      <c r="O23" s="425"/>
      <c r="P23" s="426"/>
      <c r="Q23" s="426"/>
      <c r="R23" s="426"/>
      <c r="S23" s="426"/>
      <c r="T23" s="265"/>
      <c r="U23" s="427"/>
      <c r="V23" s="428"/>
      <c r="W23" s="429"/>
      <c r="X23" s="429"/>
      <c r="Y23" s="430"/>
      <c r="Z23" s="431"/>
      <c r="AA23" s="432"/>
      <c r="AB23" s="432"/>
      <c r="AC23" s="433"/>
      <c r="AD23" s="434"/>
    </row>
    <row r="24" spans="1:30" s="420" customFormat="1" ht="27" customHeight="1" x14ac:dyDescent="0.25">
      <c r="A24" s="421"/>
      <c r="B24" s="262"/>
      <c r="C24" s="263"/>
      <c r="D24" s="263"/>
      <c r="E24" s="264"/>
      <c r="F24" s="422"/>
      <c r="G24" s="422"/>
      <c r="H24" s="422"/>
      <c r="I24" s="422"/>
      <c r="J24" s="423"/>
      <c r="K24" s="424"/>
      <c r="L24" s="424"/>
      <c r="M24" s="424"/>
      <c r="N24" s="424"/>
      <c r="O24" s="425"/>
      <c r="P24" s="426"/>
      <c r="Q24" s="426"/>
      <c r="R24" s="426"/>
      <c r="S24" s="426"/>
      <c r="T24" s="265"/>
      <c r="U24" s="427"/>
      <c r="V24" s="428"/>
      <c r="W24" s="429"/>
      <c r="X24" s="429"/>
      <c r="Y24" s="430"/>
      <c r="Z24" s="431"/>
      <c r="AA24" s="432"/>
      <c r="AB24" s="432"/>
      <c r="AC24" s="433"/>
      <c r="AD24" s="434"/>
    </row>
    <row r="25" spans="1:30" s="420" customFormat="1" ht="27" customHeight="1" x14ac:dyDescent="0.25">
      <c r="A25" s="421"/>
      <c r="B25" s="262"/>
      <c r="C25" s="263"/>
      <c r="D25" s="263"/>
      <c r="E25" s="264"/>
      <c r="F25" s="422"/>
      <c r="G25" s="422"/>
      <c r="H25" s="422"/>
      <c r="I25" s="422"/>
      <c r="J25" s="423"/>
      <c r="K25" s="424"/>
      <c r="L25" s="424"/>
      <c r="M25" s="424"/>
      <c r="N25" s="424"/>
      <c r="O25" s="425"/>
      <c r="P25" s="426"/>
      <c r="Q25" s="426"/>
      <c r="R25" s="426"/>
      <c r="S25" s="426"/>
      <c r="T25" s="265"/>
      <c r="U25" s="427"/>
      <c r="V25" s="428"/>
      <c r="W25" s="429"/>
      <c r="X25" s="429"/>
      <c r="Y25" s="430"/>
      <c r="Z25" s="431"/>
      <c r="AA25" s="432"/>
      <c r="AB25" s="432"/>
      <c r="AC25" s="433"/>
      <c r="AD25" s="434"/>
    </row>
    <row r="26" spans="1:30" s="420" customFormat="1" ht="27" customHeight="1" x14ac:dyDescent="0.25">
      <c r="A26" s="421"/>
      <c r="B26" s="262"/>
      <c r="C26" s="263"/>
      <c r="D26" s="263"/>
      <c r="E26" s="264"/>
      <c r="F26" s="422"/>
      <c r="G26" s="422"/>
      <c r="H26" s="422"/>
      <c r="I26" s="422"/>
      <c r="J26" s="423"/>
      <c r="K26" s="424"/>
      <c r="L26" s="424"/>
      <c r="M26" s="424"/>
      <c r="N26" s="424"/>
      <c r="O26" s="425"/>
      <c r="P26" s="426"/>
      <c r="Q26" s="426"/>
      <c r="R26" s="426"/>
      <c r="S26" s="426"/>
      <c r="T26" s="265"/>
      <c r="U26" s="427"/>
      <c r="V26" s="428"/>
      <c r="W26" s="429"/>
      <c r="X26" s="429"/>
      <c r="Y26" s="430"/>
      <c r="Z26" s="431"/>
      <c r="AA26" s="432"/>
      <c r="AB26" s="432"/>
      <c r="AC26" s="433"/>
      <c r="AD26" s="434"/>
    </row>
    <row r="27" spans="1:30" s="420" customFormat="1" ht="27" customHeight="1" x14ac:dyDescent="0.25">
      <c r="A27" s="421"/>
      <c r="B27" s="262"/>
      <c r="C27" s="263"/>
      <c r="D27" s="263"/>
      <c r="E27" s="264"/>
      <c r="F27" s="422"/>
      <c r="G27" s="422"/>
      <c r="H27" s="422"/>
      <c r="I27" s="422"/>
      <c r="J27" s="423"/>
      <c r="K27" s="424"/>
      <c r="L27" s="424"/>
      <c r="M27" s="424"/>
      <c r="N27" s="424"/>
      <c r="O27" s="425"/>
      <c r="P27" s="426"/>
      <c r="Q27" s="426"/>
      <c r="R27" s="426"/>
      <c r="S27" s="426"/>
      <c r="T27" s="265"/>
      <c r="U27" s="427"/>
      <c r="V27" s="428"/>
      <c r="W27" s="429"/>
      <c r="X27" s="429"/>
      <c r="Y27" s="430"/>
      <c r="Z27" s="431"/>
      <c r="AA27" s="432"/>
      <c r="AB27" s="432"/>
      <c r="AC27" s="433"/>
      <c r="AD27" s="434"/>
    </row>
    <row r="28" spans="1:30" s="420" customFormat="1" ht="27" customHeight="1" x14ac:dyDescent="0.25">
      <c r="A28" s="421"/>
      <c r="B28" s="262"/>
      <c r="C28" s="263"/>
      <c r="D28" s="263"/>
      <c r="E28" s="264"/>
      <c r="F28" s="422"/>
      <c r="G28" s="422"/>
      <c r="H28" s="422"/>
      <c r="I28" s="422"/>
      <c r="J28" s="423"/>
      <c r="K28" s="424"/>
      <c r="L28" s="424"/>
      <c r="M28" s="424"/>
      <c r="N28" s="424"/>
      <c r="O28" s="425"/>
      <c r="P28" s="426"/>
      <c r="Q28" s="426"/>
      <c r="R28" s="426"/>
      <c r="S28" s="426"/>
      <c r="T28" s="265"/>
      <c r="U28" s="427"/>
      <c r="V28" s="428"/>
      <c r="W28" s="429"/>
      <c r="X28" s="429"/>
      <c r="Y28" s="430"/>
      <c r="Z28" s="431"/>
      <c r="AA28" s="432"/>
      <c r="AB28" s="432"/>
      <c r="AC28" s="433"/>
      <c r="AD28" s="434"/>
    </row>
    <row r="29" spans="1:30" s="420" customFormat="1" ht="27" customHeight="1" thickBot="1" x14ac:dyDescent="0.3">
      <c r="A29" s="435"/>
      <c r="B29" s="266"/>
      <c r="C29" s="267"/>
      <c r="D29" s="267"/>
      <c r="E29" s="268"/>
      <c r="F29" s="436"/>
      <c r="G29" s="436"/>
      <c r="H29" s="436"/>
      <c r="I29" s="436"/>
      <c r="J29" s="437"/>
      <c r="K29" s="438"/>
      <c r="L29" s="438"/>
      <c r="M29" s="438"/>
      <c r="N29" s="438"/>
      <c r="O29" s="439"/>
      <c r="P29" s="440"/>
      <c r="Q29" s="441"/>
      <c r="R29" s="440"/>
      <c r="S29" s="441"/>
      <c r="T29" s="269"/>
      <c r="U29" s="442"/>
      <c r="V29" s="443"/>
      <c r="W29" s="444"/>
      <c r="X29" s="444"/>
      <c r="Y29" s="445"/>
      <c r="Z29" s="446"/>
      <c r="AA29" s="447"/>
      <c r="AB29" s="447"/>
      <c r="AC29" s="448"/>
      <c r="AD29" s="449"/>
    </row>
    <row r="30" spans="1:30" x14ac:dyDescent="0.25">
      <c r="G30" s="450"/>
      <c r="H30" s="450"/>
      <c r="I30" s="450"/>
    </row>
  </sheetData>
  <mergeCells count="15">
    <mergeCell ref="Z3:AC3"/>
    <mergeCell ref="A2:AD2"/>
    <mergeCell ref="A1:AD1"/>
    <mergeCell ref="A3:A4"/>
    <mergeCell ref="B3:E3"/>
    <mergeCell ref="F3:F4"/>
    <mergeCell ref="G3:G4"/>
    <mergeCell ref="H3:H4"/>
    <mergeCell ref="I3:I4"/>
    <mergeCell ref="AD3:AD4"/>
    <mergeCell ref="J3:N3"/>
    <mergeCell ref="O3:S3"/>
    <mergeCell ref="T3:T4"/>
    <mergeCell ref="U3:U4"/>
    <mergeCell ref="V3:Y3"/>
  </mergeCells>
  <pageMargins left="0.7" right="0.7" top="0.75" bottom="0.75" header="0.3" footer="0.3"/>
  <pageSetup scale="26"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BC12B-5716-4B8A-9D93-313B04779CCD}">
  <sheetPr>
    <tabColor theme="8" tint="0.79998168889431442"/>
    <pageSetUpPr fitToPage="1"/>
  </sheetPr>
  <dimension ref="A1:I60"/>
  <sheetViews>
    <sheetView showGridLines="0" workbookViewId="0">
      <selection activeCell="H21" sqref="H21"/>
    </sheetView>
  </sheetViews>
  <sheetFormatPr defaultRowHeight="13.2" x14ac:dyDescent="0.25"/>
  <cols>
    <col min="1" max="1" width="3.109375" style="8" customWidth="1"/>
    <col min="2" max="2" width="3.21875" style="8" customWidth="1"/>
    <col min="3" max="3" width="51.6640625" style="8" customWidth="1"/>
    <col min="4" max="6" width="10.77734375" style="8" customWidth="1"/>
    <col min="7" max="16384" width="8.88671875" style="8"/>
  </cols>
  <sheetData>
    <row r="1" spans="1:6" ht="47.4" customHeight="1" x14ac:dyDescent="0.25">
      <c r="A1" s="607" t="s">
        <v>412</v>
      </c>
      <c r="B1" s="607"/>
      <c r="C1" s="607"/>
      <c r="D1" s="607"/>
      <c r="E1" s="607"/>
      <c r="F1" s="607"/>
    </row>
    <row r="2" spans="1:6" ht="27" customHeight="1" x14ac:dyDescent="0.25">
      <c r="A2" s="608" t="s">
        <v>413</v>
      </c>
      <c r="B2" s="609"/>
      <c r="C2" s="610"/>
      <c r="D2" s="350" t="s">
        <v>469</v>
      </c>
      <c r="E2" s="350" t="s">
        <v>269</v>
      </c>
      <c r="F2" s="350" t="s">
        <v>270</v>
      </c>
    </row>
    <row r="3" spans="1:6" x14ac:dyDescent="0.25">
      <c r="A3" s="451" t="s">
        <v>414</v>
      </c>
      <c r="B3" s="452"/>
      <c r="C3" s="452"/>
      <c r="D3" s="453"/>
      <c r="E3" s="454"/>
      <c r="F3" s="455"/>
    </row>
    <row r="4" spans="1:6" x14ac:dyDescent="0.25">
      <c r="A4" s="456"/>
      <c r="B4" s="457" t="s">
        <v>415</v>
      </c>
      <c r="C4" s="458"/>
      <c r="D4" s="196"/>
      <c r="E4" s="196"/>
      <c r="F4" s="196"/>
    </row>
    <row r="5" spans="1:6" x14ac:dyDescent="0.25">
      <c r="A5" s="456"/>
      <c r="B5" s="457" t="s">
        <v>99</v>
      </c>
      <c r="C5" s="458"/>
      <c r="D5" s="196"/>
      <c r="E5" s="196"/>
      <c r="F5" s="196"/>
    </row>
    <row r="6" spans="1:6" x14ac:dyDescent="0.25">
      <c r="A6" s="456"/>
      <c r="B6" s="457" t="s">
        <v>416</v>
      </c>
      <c r="C6" s="458"/>
      <c r="D6" s="196"/>
      <c r="E6" s="196"/>
      <c r="F6" s="196"/>
    </row>
    <row r="7" spans="1:6" x14ac:dyDescent="0.25">
      <c r="A7" s="456"/>
      <c r="B7" s="457" t="s">
        <v>100</v>
      </c>
      <c r="C7" s="458"/>
      <c r="D7" s="196"/>
      <c r="E7" s="196"/>
      <c r="F7" s="196"/>
    </row>
    <row r="8" spans="1:6" x14ac:dyDescent="0.25">
      <c r="A8" s="456"/>
      <c r="B8" s="457" t="s">
        <v>104</v>
      </c>
      <c r="C8" s="458"/>
      <c r="D8" s="196"/>
      <c r="E8" s="196"/>
      <c r="F8" s="196"/>
    </row>
    <row r="9" spans="1:6" x14ac:dyDescent="0.25">
      <c r="A9" s="456"/>
      <c r="B9" s="457" t="s">
        <v>102</v>
      </c>
      <c r="C9" s="458"/>
      <c r="D9" s="196"/>
      <c r="E9" s="196"/>
      <c r="F9" s="196"/>
    </row>
    <row r="10" spans="1:6" x14ac:dyDescent="0.25">
      <c r="A10" s="456"/>
      <c r="B10" s="457" t="s">
        <v>470</v>
      </c>
      <c r="C10" s="458"/>
      <c r="D10" s="196"/>
      <c r="E10" s="196"/>
      <c r="F10" s="196"/>
    </row>
    <row r="11" spans="1:6" x14ac:dyDescent="0.25">
      <c r="A11" s="456"/>
      <c r="B11" s="457" t="s">
        <v>417</v>
      </c>
      <c r="C11" s="458"/>
      <c r="D11" s="196"/>
      <c r="E11" s="196"/>
      <c r="F11" s="196"/>
    </row>
    <row r="12" spans="1:6" x14ac:dyDescent="0.25">
      <c r="A12" s="456"/>
      <c r="B12" s="457" t="s">
        <v>101</v>
      </c>
      <c r="C12" s="458"/>
      <c r="D12" s="196"/>
      <c r="E12" s="196"/>
      <c r="F12" s="196"/>
    </row>
    <row r="13" spans="1:6" x14ac:dyDescent="0.25">
      <c r="A13" s="456"/>
      <c r="B13" s="457" t="s">
        <v>103</v>
      </c>
      <c r="C13" s="458"/>
      <c r="D13" s="196"/>
      <c r="E13" s="196"/>
      <c r="F13" s="196"/>
    </row>
    <row r="14" spans="1:6" x14ac:dyDescent="0.25">
      <c r="A14" s="451" t="s">
        <v>87</v>
      </c>
      <c r="B14" s="452"/>
      <c r="C14" s="452"/>
      <c r="D14" s="456"/>
      <c r="E14" s="457"/>
      <c r="F14" s="458"/>
    </row>
    <row r="15" spans="1:6" x14ac:dyDescent="0.25">
      <c r="A15" s="456"/>
      <c r="B15" s="457" t="s">
        <v>88</v>
      </c>
      <c r="C15" s="457"/>
      <c r="D15" s="196"/>
      <c r="E15" s="196"/>
      <c r="F15" s="196"/>
    </row>
    <row r="16" spans="1:6" x14ac:dyDescent="0.25">
      <c r="A16" s="456"/>
      <c r="B16" s="457" t="s">
        <v>471</v>
      </c>
      <c r="C16" s="457"/>
      <c r="D16" s="196"/>
      <c r="E16" s="196"/>
      <c r="F16" s="196"/>
    </row>
    <row r="17" spans="1:6" x14ac:dyDescent="0.25">
      <c r="A17" s="451" t="s">
        <v>418</v>
      </c>
      <c r="B17" s="452"/>
      <c r="C17" s="452"/>
      <c r="D17" s="456"/>
      <c r="E17" s="457"/>
      <c r="F17" s="458"/>
    </row>
    <row r="18" spans="1:6" x14ac:dyDescent="0.25">
      <c r="A18" s="456"/>
      <c r="B18" s="457" t="s">
        <v>419</v>
      </c>
      <c r="C18" s="457"/>
      <c r="D18" s="196"/>
      <c r="E18" s="196"/>
      <c r="F18" s="196"/>
    </row>
    <row r="19" spans="1:6" x14ac:dyDescent="0.25">
      <c r="A19" s="456"/>
      <c r="B19" s="457" t="s">
        <v>420</v>
      </c>
      <c r="C19" s="457"/>
      <c r="D19" s="196"/>
      <c r="E19" s="196"/>
      <c r="F19" s="196"/>
    </row>
    <row r="20" spans="1:6" x14ac:dyDescent="0.25">
      <c r="A20" s="456"/>
      <c r="B20" s="457" t="s">
        <v>421</v>
      </c>
      <c r="C20" s="457"/>
      <c r="D20" s="196"/>
      <c r="E20" s="196"/>
      <c r="F20" s="196"/>
    </row>
    <row r="21" spans="1:6" x14ac:dyDescent="0.25">
      <c r="A21" s="451" t="s">
        <v>422</v>
      </c>
      <c r="B21" s="452"/>
      <c r="C21" s="452"/>
      <c r="D21" s="453"/>
      <c r="E21" s="454"/>
      <c r="F21" s="455"/>
    </row>
    <row r="22" spans="1:6" x14ac:dyDescent="0.25">
      <c r="A22" s="474"/>
      <c r="B22" s="457" t="s">
        <v>423</v>
      </c>
      <c r="C22" s="452"/>
      <c r="D22" s="453"/>
      <c r="E22" s="454"/>
      <c r="F22" s="455"/>
    </row>
    <row r="23" spans="1:6" x14ac:dyDescent="0.25">
      <c r="A23" s="456"/>
      <c r="B23" s="457"/>
      <c r="C23" s="457" t="s">
        <v>424</v>
      </c>
      <c r="D23" s="196"/>
      <c r="E23" s="196"/>
      <c r="F23" s="196"/>
    </row>
    <row r="24" spans="1:6" x14ac:dyDescent="0.25">
      <c r="A24" s="456"/>
      <c r="B24" s="457"/>
      <c r="C24" s="457" t="s">
        <v>425</v>
      </c>
      <c r="D24" s="196"/>
      <c r="E24" s="196"/>
      <c r="F24" s="196"/>
    </row>
    <row r="25" spans="1:6" x14ac:dyDescent="0.25">
      <c r="A25" s="456"/>
      <c r="B25" s="457"/>
      <c r="C25" s="457" t="s">
        <v>426</v>
      </c>
      <c r="D25" s="196"/>
      <c r="E25" s="196"/>
      <c r="F25" s="196"/>
    </row>
    <row r="26" spans="1:6" x14ac:dyDescent="0.25">
      <c r="A26" s="456"/>
      <c r="B26" s="457"/>
      <c r="C26" s="457" t="s">
        <v>89</v>
      </c>
      <c r="D26" s="196"/>
      <c r="E26" s="196"/>
      <c r="F26" s="196"/>
    </row>
    <row r="27" spans="1:6" x14ac:dyDescent="0.25">
      <c r="A27" s="456"/>
      <c r="B27" s="458" t="s">
        <v>90</v>
      </c>
      <c r="C27" s="456"/>
      <c r="D27" s="196"/>
      <c r="E27" s="196"/>
      <c r="F27" s="196"/>
    </row>
    <row r="28" spans="1:6" x14ac:dyDescent="0.25">
      <c r="A28" s="474"/>
      <c r="B28" s="457" t="s">
        <v>427</v>
      </c>
      <c r="C28" s="452"/>
      <c r="D28" s="456"/>
      <c r="E28" s="457"/>
      <c r="F28" s="458"/>
    </row>
    <row r="29" spans="1:6" x14ac:dyDescent="0.25">
      <c r="A29" s="456"/>
      <c r="B29" s="457"/>
      <c r="C29" s="457" t="s">
        <v>428</v>
      </c>
      <c r="D29" s="196"/>
      <c r="E29" s="196"/>
      <c r="F29" s="196"/>
    </row>
    <row r="30" spans="1:6" x14ac:dyDescent="0.25">
      <c r="A30" s="456"/>
      <c r="B30" s="457"/>
      <c r="C30" s="457" t="s">
        <v>429</v>
      </c>
      <c r="D30" s="196"/>
      <c r="E30" s="196"/>
      <c r="F30" s="196"/>
    </row>
    <row r="31" spans="1:6" x14ac:dyDescent="0.25">
      <c r="A31" s="456"/>
      <c r="B31" s="457"/>
      <c r="C31" s="457" t="s">
        <v>430</v>
      </c>
      <c r="D31" s="196"/>
      <c r="E31" s="196"/>
      <c r="F31" s="196"/>
    </row>
    <row r="32" spans="1:6" x14ac:dyDescent="0.25">
      <c r="A32" s="456"/>
      <c r="B32" s="457"/>
      <c r="C32" s="457" t="s">
        <v>431</v>
      </c>
      <c r="D32" s="196"/>
      <c r="E32" s="196"/>
      <c r="F32" s="196"/>
    </row>
    <row r="33" spans="1:9" x14ac:dyDescent="0.25">
      <c r="A33" s="474"/>
      <c r="B33" s="457" t="s">
        <v>432</v>
      </c>
      <c r="C33" s="452"/>
      <c r="D33" s="456"/>
      <c r="E33" s="457"/>
      <c r="F33" s="458"/>
    </row>
    <row r="34" spans="1:9" x14ac:dyDescent="0.25">
      <c r="A34" s="456"/>
      <c r="B34" s="457"/>
      <c r="C34" s="457" t="s">
        <v>428</v>
      </c>
      <c r="D34" s="196"/>
      <c r="E34" s="196"/>
      <c r="F34" s="196"/>
    </row>
    <row r="35" spans="1:9" x14ac:dyDescent="0.25">
      <c r="A35" s="456"/>
      <c r="B35" s="457"/>
      <c r="C35" s="457" t="s">
        <v>429</v>
      </c>
      <c r="D35" s="196"/>
      <c r="E35" s="196"/>
      <c r="F35" s="196"/>
    </row>
    <row r="36" spans="1:9" x14ac:dyDescent="0.25">
      <c r="A36" s="456"/>
      <c r="B36" s="457"/>
      <c r="C36" s="457" t="s">
        <v>430</v>
      </c>
      <c r="D36" s="196"/>
      <c r="E36" s="196"/>
      <c r="F36" s="196"/>
    </row>
    <row r="37" spans="1:9" x14ac:dyDescent="0.25">
      <c r="A37" s="456"/>
      <c r="B37" s="457"/>
      <c r="C37" s="457" t="s">
        <v>431</v>
      </c>
      <c r="D37" s="196"/>
      <c r="E37" s="196"/>
      <c r="F37" s="196"/>
    </row>
    <row r="38" spans="1:9" x14ac:dyDescent="0.25">
      <c r="A38" s="456"/>
      <c r="B38" s="458" t="s">
        <v>433</v>
      </c>
      <c r="C38" s="451"/>
      <c r="D38" s="456"/>
      <c r="E38" s="457"/>
      <c r="F38" s="458"/>
    </row>
    <row r="39" spans="1:9" x14ac:dyDescent="0.25">
      <c r="A39" s="456"/>
      <c r="B39" s="457"/>
      <c r="C39" s="457" t="s">
        <v>434</v>
      </c>
      <c r="D39" s="196"/>
      <c r="E39" s="196"/>
      <c r="F39" s="196"/>
      <c r="G39" s="459"/>
      <c r="H39" s="460"/>
      <c r="I39" s="460"/>
    </row>
    <row r="40" spans="1:9" x14ac:dyDescent="0.25">
      <c r="A40" s="456"/>
      <c r="B40" s="457"/>
      <c r="C40" s="457" t="s">
        <v>97</v>
      </c>
      <c r="D40" s="196"/>
      <c r="E40" s="196"/>
      <c r="F40" s="196"/>
      <c r="G40" s="459"/>
      <c r="H40" s="460"/>
      <c r="I40" s="460"/>
    </row>
    <row r="41" spans="1:9" x14ac:dyDescent="0.25">
      <c r="A41" s="456"/>
      <c r="B41" s="457" t="s">
        <v>435</v>
      </c>
      <c r="C41" s="457"/>
      <c r="D41" s="196"/>
      <c r="E41" s="196"/>
      <c r="F41" s="196"/>
    </row>
    <row r="42" spans="1:9" x14ac:dyDescent="0.25">
      <c r="A42" s="456"/>
      <c r="B42" s="457" t="s">
        <v>436</v>
      </c>
      <c r="C42" s="457"/>
      <c r="D42" s="196"/>
      <c r="E42" s="196"/>
      <c r="F42" s="196"/>
    </row>
    <row r="43" spans="1:9" x14ac:dyDescent="0.25">
      <c r="A43" s="456"/>
      <c r="B43" s="457" t="s">
        <v>91</v>
      </c>
      <c r="C43" s="457"/>
      <c r="D43" s="196"/>
      <c r="E43" s="196"/>
      <c r="F43" s="196"/>
    </row>
    <row r="44" spans="1:9" x14ac:dyDescent="0.25">
      <c r="A44" s="456"/>
      <c r="B44" s="457" t="s">
        <v>96</v>
      </c>
      <c r="C44" s="457"/>
      <c r="D44" s="196"/>
      <c r="E44" s="196"/>
      <c r="F44" s="196"/>
    </row>
    <row r="45" spans="1:9" x14ac:dyDescent="0.25">
      <c r="A45" s="456"/>
      <c r="B45" s="457" t="s">
        <v>437</v>
      </c>
      <c r="C45" s="457"/>
      <c r="D45" s="196"/>
      <c r="E45" s="196"/>
      <c r="F45" s="196"/>
    </row>
    <row r="46" spans="1:9" x14ac:dyDescent="0.25">
      <c r="A46" s="456"/>
      <c r="B46" s="457" t="s">
        <v>438</v>
      </c>
      <c r="C46" s="457"/>
      <c r="D46" s="196"/>
      <c r="E46" s="196"/>
      <c r="F46" s="196"/>
    </row>
    <row r="47" spans="1:9" x14ac:dyDescent="0.25">
      <c r="A47" s="456"/>
      <c r="B47" s="457" t="s">
        <v>439</v>
      </c>
      <c r="C47" s="457"/>
      <c r="D47" s="196"/>
      <c r="E47" s="196"/>
      <c r="F47" s="196"/>
    </row>
    <row r="48" spans="1:9" x14ac:dyDescent="0.25">
      <c r="A48" s="456"/>
      <c r="B48" s="457" t="s">
        <v>98</v>
      </c>
      <c r="C48" s="457"/>
      <c r="D48" s="196"/>
      <c r="E48" s="196"/>
      <c r="F48" s="196"/>
    </row>
    <row r="49" spans="1:6" x14ac:dyDescent="0.25">
      <c r="A49" s="456"/>
      <c r="B49" s="457" t="s">
        <v>173</v>
      </c>
      <c r="C49" s="457"/>
      <c r="D49" s="196"/>
      <c r="E49" s="196"/>
      <c r="F49" s="196"/>
    </row>
    <row r="50" spans="1:6" x14ac:dyDescent="0.25">
      <c r="A50" s="456"/>
      <c r="B50" s="457" t="s">
        <v>440</v>
      </c>
      <c r="C50" s="457"/>
      <c r="D50" s="196"/>
      <c r="E50" s="196"/>
      <c r="F50" s="196"/>
    </row>
    <row r="51" spans="1:6" x14ac:dyDescent="0.25">
      <c r="A51" s="456"/>
      <c r="B51" s="457" t="s">
        <v>441</v>
      </c>
      <c r="C51" s="457"/>
      <c r="D51" s="196"/>
      <c r="E51" s="196"/>
      <c r="F51" s="196"/>
    </row>
    <row r="52" spans="1:6" x14ac:dyDescent="0.25">
      <c r="A52" s="456"/>
      <c r="B52" s="457" t="s">
        <v>442</v>
      </c>
      <c r="C52" s="457"/>
      <c r="D52" s="196"/>
      <c r="E52" s="196"/>
      <c r="F52" s="196"/>
    </row>
    <row r="53" spans="1:6" x14ac:dyDescent="0.25">
      <c r="A53" s="456"/>
      <c r="B53" s="457" t="s">
        <v>443</v>
      </c>
      <c r="C53" s="457"/>
      <c r="D53" s="196"/>
      <c r="E53" s="196"/>
      <c r="F53" s="196"/>
    </row>
    <row r="54" spans="1:6" x14ac:dyDescent="0.25">
      <c r="A54" s="456"/>
      <c r="B54" s="457" t="s">
        <v>444</v>
      </c>
      <c r="C54" s="457"/>
      <c r="D54" s="453"/>
      <c r="E54" s="454"/>
      <c r="F54" s="455"/>
    </row>
    <row r="55" spans="1:6" x14ac:dyDescent="0.25">
      <c r="A55" s="456"/>
      <c r="B55" s="457"/>
      <c r="C55" s="457" t="s">
        <v>445</v>
      </c>
      <c r="D55" s="196"/>
      <c r="E55" s="196"/>
      <c r="F55" s="196"/>
    </row>
    <row r="56" spans="1:6" x14ac:dyDescent="0.25">
      <c r="A56" s="456"/>
      <c r="B56" s="457"/>
      <c r="C56" s="457" t="s">
        <v>446</v>
      </c>
      <c r="D56" s="196"/>
      <c r="E56" s="196"/>
      <c r="F56" s="196"/>
    </row>
    <row r="57" spans="1:6" x14ac:dyDescent="0.25">
      <c r="A57" s="451" t="s">
        <v>92</v>
      </c>
      <c r="B57" s="452"/>
      <c r="C57" s="452"/>
      <c r="D57" s="453"/>
      <c r="E57" s="454"/>
      <c r="F57" s="455"/>
    </row>
    <row r="58" spans="1:6" x14ac:dyDescent="0.25">
      <c r="A58" s="456"/>
      <c r="B58" s="457" t="s">
        <v>93</v>
      </c>
      <c r="C58" s="457"/>
      <c r="D58" s="196"/>
      <c r="E58" s="196"/>
      <c r="F58" s="196"/>
    </row>
    <row r="59" spans="1:6" x14ac:dyDescent="0.25">
      <c r="A59" s="456"/>
      <c r="B59" s="457" t="s">
        <v>94</v>
      </c>
      <c r="C59" s="457"/>
      <c r="D59" s="196"/>
      <c r="E59" s="196"/>
      <c r="F59" s="196"/>
    </row>
    <row r="60" spans="1:6" x14ac:dyDescent="0.25">
      <c r="A60" s="456"/>
      <c r="B60" s="457" t="s">
        <v>95</v>
      </c>
      <c r="C60" s="457"/>
      <c r="D60" s="196"/>
      <c r="E60" s="196"/>
      <c r="F60" s="196"/>
    </row>
  </sheetData>
  <mergeCells count="2">
    <mergeCell ref="A1:F1"/>
    <mergeCell ref="A2:C2"/>
  </mergeCells>
  <printOptions horizontalCentered="1"/>
  <pageMargins left="0.7" right="0.7" top="0.75" bottom="0.75" header="0.3" footer="0.3"/>
  <pageSetup scale="83" orientation="portrait"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356B-15A5-4D36-BFE2-D11356D01B59}">
  <sheetPr>
    <tabColor theme="8" tint="0.79998168889431442"/>
    <pageSetUpPr fitToPage="1"/>
  </sheetPr>
  <dimension ref="A1:O59"/>
  <sheetViews>
    <sheetView showGridLines="0" zoomScaleNormal="100" workbookViewId="0">
      <selection activeCell="A2" sqref="A2"/>
    </sheetView>
  </sheetViews>
  <sheetFormatPr defaultColWidth="8.88671875" defaultRowHeight="13.2" x14ac:dyDescent="0.25"/>
  <cols>
    <col min="1" max="1" width="35.5546875" style="8" customWidth="1"/>
    <col min="2" max="2" width="39.6640625" style="217" customWidth="1"/>
    <col min="3" max="3" width="12.6640625" style="8" customWidth="1"/>
    <col min="4" max="4" width="10.6640625" style="8" customWidth="1"/>
    <col min="5" max="5" width="11.109375" style="8" customWidth="1"/>
    <col min="6" max="6" width="15.6640625" style="8" customWidth="1"/>
    <col min="7" max="7" width="15.5546875" style="8" customWidth="1"/>
    <col min="8" max="14" width="13.33203125" style="8" customWidth="1"/>
    <col min="15" max="15" width="15.88671875" style="8" customWidth="1"/>
    <col min="16" max="16384" width="8.88671875" style="8"/>
  </cols>
  <sheetData>
    <row r="1" spans="1:15" ht="61.95" customHeight="1" x14ac:dyDescent="0.25">
      <c r="A1" s="503" t="s">
        <v>447</v>
      </c>
      <c r="B1" s="503"/>
      <c r="C1" s="503"/>
      <c r="D1" s="503"/>
      <c r="E1" s="503"/>
      <c r="F1" s="503"/>
      <c r="G1" s="503"/>
      <c r="H1" s="503"/>
      <c r="I1" s="503"/>
      <c r="J1" s="503"/>
      <c r="K1" s="503"/>
      <c r="L1" s="503"/>
      <c r="M1" s="503"/>
      <c r="N1" s="503"/>
      <c r="O1" s="503"/>
    </row>
    <row r="2" spans="1:15" s="179" customFormat="1" ht="19.95" customHeight="1" x14ac:dyDescent="0.25">
      <c r="A2" s="175" t="s">
        <v>482</v>
      </c>
      <c r="B2" s="176"/>
      <c r="C2" s="177"/>
      <c r="D2" s="177"/>
      <c r="E2" s="177"/>
      <c r="F2" s="177"/>
      <c r="G2" s="178"/>
      <c r="H2" s="178"/>
      <c r="I2" s="178"/>
      <c r="J2" s="178"/>
      <c r="K2" s="178"/>
      <c r="L2" s="178"/>
      <c r="M2" s="178"/>
      <c r="N2" s="178"/>
      <c r="O2" s="178"/>
    </row>
    <row r="3" spans="1:15" ht="30.6" customHeight="1" x14ac:dyDescent="0.25">
      <c r="A3" s="611" t="s">
        <v>488</v>
      </c>
      <c r="B3" s="612"/>
      <c r="C3" s="612"/>
      <c r="D3" s="612"/>
      <c r="E3" s="612"/>
      <c r="F3" s="612"/>
      <c r="G3" s="612"/>
      <c r="H3" s="612"/>
      <c r="I3" s="612"/>
      <c r="J3" s="612"/>
      <c r="K3" s="612"/>
      <c r="L3" s="612"/>
      <c r="M3" s="612"/>
      <c r="N3" s="612"/>
      <c r="O3" s="613"/>
    </row>
    <row r="4" spans="1:15" ht="26.4" x14ac:dyDescent="0.25">
      <c r="A4" s="180" t="s">
        <v>159</v>
      </c>
      <c r="B4" s="180" t="s">
        <v>175</v>
      </c>
      <c r="C4" s="180" t="s">
        <v>161</v>
      </c>
      <c r="D4" s="180" t="s">
        <v>181</v>
      </c>
      <c r="E4" s="180" t="s">
        <v>157</v>
      </c>
      <c r="F4" s="180" t="s">
        <v>160</v>
      </c>
      <c r="G4" s="180" t="s">
        <v>166</v>
      </c>
      <c r="H4" s="180" t="s">
        <v>162</v>
      </c>
      <c r="I4" s="180" t="s">
        <v>71</v>
      </c>
      <c r="J4" s="180" t="s">
        <v>163</v>
      </c>
      <c r="K4" s="180" t="s">
        <v>164</v>
      </c>
      <c r="L4" s="180" t="s">
        <v>72</v>
      </c>
      <c r="M4" s="180" t="s">
        <v>165</v>
      </c>
      <c r="N4" s="173" t="s">
        <v>245</v>
      </c>
      <c r="O4" s="180" t="s">
        <v>252</v>
      </c>
    </row>
    <row r="5" spans="1:15" s="179" customFormat="1" ht="19.5" customHeight="1" x14ac:dyDescent="0.25">
      <c r="A5" s="183" t="s">
        <v>158</v>
      </c>
      <c r="B5" s="183" t="s">
        <v>158</v>
      </c>
      <c r="C5" s="184">
        <v>0</v>
      </c>
      <c r="D5" s="183"/>
      <c r="E5" s="183"/>
      <c r="F5" s="185">
        <f t="shared" ref="F5:F9" si="0">C5*D5*E5</f>
        <v>0</v>
      </c>
      <c r="G5" s="181">
        <v>0</v>
      </c>
      <c r="H5" s="181">
        <v>0</v>
      </c>
      <c r="I5" s="181">
        <v>0</v>
      </c>
      <c r="J5" s="181">
        <v>0</v>
      </c>
      <c r="K5" s="181">
        <v>0</v>
      </c>
      <c r="L5" s="181">
        <v>0</v>
      </c>
      <c r="M5" s="181">
        <v>0</v>
      </c>
      <c r="N5" s="182">
        <v>0</v>
      </c>
      <c r="O5" s="186">
        <f t="shared" ref="O5:O23" si="1">SUM(G5:N5)</f>
        <v>0</v>
      </c>
    </row>
    <row r="6" spans="1:15" s="179" customFormat="1" ht="19.5" customHeight="1" x14ac:dyDescent="0.25">
      <c r="A6" s="183" t="s">
        <v>158</v>
      </c>
      <c r="B6" s="183" t="s">
        <v>158</v>
      </c>
      <c r="C6" s="184">
        <v>0</v>
      </c>
      <c r="D6" s="183"/>
      <c r="E6" s="183"/>
      <c r="F6" s="185">
        <f t="shared" si="0"/>
        <v>0</v>
      </c>
      <c r="G6" s="181">
        <v>0</v>
      </c>
      <c r="H6" s="181">
        <v>0</v>
      </c>
      <c r="I6" s="181">
        <v>0</v>
      </c>
      <c r="J6" s="181">
        <v>0</v>
      </c>
      <c r="K6" s="181">
        <v>0</v>
      </c>
      <c r="L6" s="181">
        <v>0</v>
      </c>
      <c r="M6" s="181">
        <v>0</v>
      </c>
      <c r="N6" s="182">
        <v>0</v>
      </c>
      <c r="O6" s="186">
        <f t="shared" si="1"/>
        <v>0</v>
      </c>
    </row>
    <row r="7" spans="1:15" s="179" customFormat="1" ht="19.5" customHeight="1" x14ac:dyDescent="0.25">
      <c r="A7" s="183" t="s">
        <v>158</v>
      </c>
      <c r="B7" s="183" t="s">
        <v>158</v>
      </c>
      <c r="C7" s="184">
        <v>0</v>
      </c>
      <c r="D7" s="183"/>
      <c r="E7" s="183"/>
      <c r="F7" s="185">
        <f t="shared" si="0"/>
        <v>0</v>
      </c>
      <c r="G7" s="181">
        <v>0</v>
      </c>
      <c r="H7" s="181">
        <v>0</v>
      </c>
      <c r="I7" s="181">
        <v>0</v>
      </c>
      <c r="J7" s="181">
        <v>0</v>
      </c>
      <c r="K7" s="181">
        <v>0</v>
      </c>
      <c r="L7" s="181">
        <v>0</v>
      </c>
      <c r="M7" s="181">
        <v>0</v>
      </c>
      <c r="N7" s="182">
        <v>0</v>
      </c>
      <c r="O7" s="186">
        <f t="shared" si="1"/>
        <v>0</v>
      </c>
    </row>
    <row r="8" spans="1:15" s="179" customFormat="1" ht="19.5" customHeight="1" x14ac:dyDescent="0.25">
      <c r="A8" s="183" t="s">
        <v>158</v>
      </c>
      <c r="B8" s="183" t="s">
        <v>158</v>
      </c>
      <c r="C8" s="184">
        <v>0</v>
      </c>
      <c r="D8" s="183"/>
      <c r="E8" s="183"/>
      <c r="F8" s="185">
        <f t="shared" si="0"/>
        <v>0</v>
      </c>
      <c r="G8" s="181">
        <v>0</v>
      </c>
      <c r="H8" s="181">
        <v>0</v>
      </c>
      <c r="I8" s="181">
        <v>0</v>
      </c>
      <c r="J8" s="181">
        <v>0</v>
      </c>
      <c r="K8" s="181">
        <v>0</v>
      </c>
      <c r="L8" s="181">
        <v>0</v>
      </c>
      <c r="M8" s="181">
        <v>0</v>
      </c>
      <c r="N8" s="182">
        <v>0</v>
      </c>
      <c r="O8" s="186">
        <f t="shared" si="1"/>
        <v>0</v>
      </c>
    </row>
    <row r="9" spans="1:15" s="179" customFormat="1" ht="19.5" customHeight="1" x14ac:dyDescent="0.25">
      <c r="A9" s="183" t="s">
        <v>158</v>
      </c>
      <c r="B9" s="183" t="s">
        <v>158</v>
      </c>
      <c r="C9" s="184">
        <v>0</v>
      </c>
      <c r="D9" s="183"/>
      <c r="E9" s="183"/>
      <c r="F9" s="185">
        <f t="shared" si="0"/>
        <v>0</v>
      </c>
      <c r="G9" s="181">
        <v>0</v>
      </c>
      <c r="H9" s="181">
        <v>0</v>
      </c>
      <c r="I9" s="181">
        <v>0</v>
      </c>
      <c r="J9" s="181">
        <v>0</v>
      </c>
      <c r="K9" s="181">
        <v>0</v>
      </c>
      <c r="L9" s="181">
        <v>0</v>
      </c>
      <c r="M9" s="181">
        <v>0</v>
      </c>
      <c r="N9" s="182">
        <v>0</v>
      </c>
      <c r="O9" s="186">
        <f t="shared" si="1"/>
        <v>0</v>
      </c>
    </row>
    <row r="10" spans="1:15" s="179" customFormat="1" ht="19.5" customHeight="1" x14ac:dyDescent="0.25">
      <c r="A10" s="183" t="s">
        <v>158</v>
      </c>
      <c r="B10" s="183" t="s">
        <v>158</v>
      </c>
      <c r="C10" s="184">
        <v>0</v>
      </c>
      <c r="D10" s="183"/>
      <c r="E10" s="183"/>
      <c r="F10" s="185">
        <f t="shared" ref="F10:F17" si="2">C10*D10*E10</f>
        <v>0</v>
      </c>
      <c r="G10" s="181">
        <v>0</v>
      </c>
      <c r="H10" s="181">
        <v>0</v>
      </c>
      <c r="I10" s="181">
        <v>0</v>
      </c>
      <c r="J10" s="181">
        <v>0</v>
      </c>
      <c r="K10" s="181">
        <v>0</v>
      </c>
      <c r="L10" s="181">
        <v>0</v>
      </c>
      <c r="M10" s="181">
        <v>0</v>
      </c>
      <c r="N10" s="182">
        <v>0</v>
      </c>
      <c r="O10" s="186">
        <f t="shared" si="1"/>
        <v>0</v>
      </c>
    </row>
    <row r="11" spans="1:15" s="179" customFormat="1" ht="19.5" customHeight="1" x14ac:dyDescent="0.25">
      <c r="A11" s="183" t="s">
        <v>158</v>
      </c>
      <c r="B11" s="183" t="s">
        <v>158</v>
      </c>
      <c r="C11" s="184">
        <v>0</v>
      </c>
      <c r="D11" s="183"/>
      <c r="E11" s="183"/>
      <c r="F11" s="185">
        <f t="shared" si="2"/>
        <v>0</v>
      </c>
      <c r="G11" s="181">
        <v>0</v>
      </c>
      <c r="H11" s="181">
        <v>0</v>
      </c>
      <c r="I11" s="181">
        <v>0</v>
      </c>
      <c r="J11" s="181">
        <v>0</v>
      </c>
      <c r="K11" s="181">
        <v>0</v>
      </c>
      <c r="L11" s="181">
        <v>0</v>
      </c>
      <c r="M11" s="181">
        <v>0</v>
      </c>
      <c r="N11" s="182">
        <v>0</v>
      </c>
      <c r="O11" s="186">
        <f t="shared" si="1"/>
        <v>0</v>
      </c>
    </row>
    <row r="12" spans="1:15" s="179" customFormat="1" ht="19.5" customHeight="1" x14ac:dyDescent="0.25">
      <c r="A12" s="183" t="s">
        <v>158</v>
      </c>
      <c r="B12" s="183" t="s">
        <v>158</v>
      </c>
      <c r="C12" s="184">
        <v>0</v>
      </c>
      <c r="D12" s="183"/>
      <c r="E12" s="183"/>
      <c r="F12" s="185">
        <f t="shared" ref="F12:F13" si="3">C12*D12*E12</f>
        <v>0</v>
      </c>
      <c r="G12" s="181">
        <v>0</v>
      </c>
      <c r="H12" s="181">
        <v>0</v>
      </c>
      <c r="I12" s="181">
        <v>0</v>
      </c>
      <c r="J12" s="181">
        <v>0</v>
      </c>
      <c r="K12" s="181">
        <v>0</v>
      </c>
      <c r="L12" s="181">
        <v>0</v>
      </c>
      <c r="M12" s="181">
        <v>0</v>
      </c>
      <c r="N12" s="182">
        <v>0</v>
      </c>
      <c r="O12" s="186">
        <f t="shared" si="1"/>
        <v>0</v>
      </c>
    </row>
    <row r="13" spans="1:15" s="179" customFormat="1" ht="19.5" customHeight="1" x14ac:dyDescent="0.25">
      <c r="A13" s="183" t="s">
        <v>158</v>
      </c>
      <c r="B13" s="183" t="s">
        <v>158</v>
      </c>
      <c r="C13" s="184">
        <v>0</v>
      </c>
      <c r="D13" s="183"/>
      <c r="E13" s="183"/>
      <c r="F13" s="185">
        <f t="shared" si="3"/>
        <v>0</v>
      </c>
      <c r="G13" s="181">
        <v>0</v>
      </c>
      <c r="H13" s="181">
        <v>0</v>
      </c>
      <c r="I13" s="181">
        <v>0</v>
      </c>
      <c r="J13" s="181">
        <v>0</v>
      </c>
      <c r="K13" s="181">
        <v>0</v>
      </c>
      <c r="L13" s="181">
        <v>0</v>
      </c>
      <c r="M13" s="181">
        <v>0</v>
      </c>
      <c r="N13" s="182">
        <v>0</v>
      </c>
      <c r="O13" s="186">
        <f t="shared" si="1"/>
        <v>0</v>
      </c>
    </row>
    <row r="14" spans="1:15" s="179" customFormat="1" ht="19.5" customHeight="1" x14ac:dyDescent="0.25">
      <c r="A14" s="183" t="s">
        <v>158</v>
      </c>
      <c r="B14" s="183" t="s">
        <v>158</v>
      </c>
      <c r="C14" s="184">
        <v>0</v>
      </c>
      <c r="D14" s="183"/>
      <c r="E14" s="183"/>
      <c r="F14" s="185">
        <f t="shared" si="2"/>
        <v>0</v>
      </c>
      <c r="G14" s="181">
        <v>0</v>
      </c>
      <c r="H14" s="181">
        <v>0</v>
      </c>
      <c r="I14" s="181">
        <v>0</v>
      </c>
      <c r="J14" s="181">
        <v>0</v>
      </c>
      <c r="K14" s="181">
        <v>0</v>
      </c>
      <c r="L14" s="181">
        <v>0</v>
      </c>
      <c r="M14" s="181">
        <v>0</v>
      </c>
      <c r="N14" s="182">
        <v>0</v>
      </c>
      <c r="O14" s="186">
        <f t="shared" si="1"/>
        <v>0</v>
      </c>
    </row>
    <row r="15" spans="1:15" s="179" customFormat="1" ht="19.5" customHeight="1" x14ac:dyDescent="0.25">
      <c r="A15" s="183" t="s">
        <v>158</v>
      </c>
      <c r="B15" s="183" t="s">
        <v>158</v>
      </c>
      <c r="C15" s="184">
        <v>0</v>
      </c>
      <c r="D15" s="183"/>
      <c r="E15" s="183"/>
      <c r="F15" s="185">
        <f t="shared" si="2"/>
        <v>0</v>
      </c>
      <c r="G15" s="181">
        <v>0</v>
      </c>
      <c r="H15" s="181">
        <v>0</v>
      </c>
      <c r="I15" s="181">
        <v>0</v>
      </c>
      <c r="J15" s="181">
        <v>0</v>
      </c>
      <c r="K15" s="181">
        <v>0</v>
      </c>
      <c r="L15" s="181">
        <v>0</v>
      </c>
      <c r="M15" s="181">
        <v>0</v>
      </c>
      <c r="N15" s="182">
        <v>0</v>
      </c>
      <c r="O15" s="186">
        <f t="shared" si="1"/>
        <v>0</v>
      </c>
    </row>
    <row r="16" spans="1:15" s="179" customFormat="1" ht="19.5" customHeight="1" x14ac:dyDescent="0.25">
      <c r="A16" s="183" t="s">
        <v>158</v>
      </c>
      <c r="B16" s="183" t="s">
        <v>158</v>
      </c>
      <c r="C16" s="184">
        <v>0</v>
      </c>
      <c r="D16" s="183"/>
      <c r="E16" s="183"/>
      <c r="F16" s="185">
        <f t="shared" si="2"/>
        <v>0</v>
      </c>
      <c r="G16" s="181">
        <v>0</v>
      </c>
      <c r="H16" s="181">
        <v>0</v>
      </c>
      <c r="I16" s="181">
        <v>0</v>
      </c>
      <c r="J16" s="181">
        <v>0</v>
      </c>
      <c r="K16" s="181">
        <v>0</v>
      </c>
      <c r="L16" s="181">
        <v>0</v>
      </c>
      <c r="M16" s="181">
        <v>0</v>
      </c>
      <c r="N16" s="182">
        <v>0</v>
      </c>
      <c r="O16" s="186">
        <f t="shared" si="1"/>
        <v>0</v>
      </c>
    </row>
    <row r="17" spans="1:15" s="179" customFormat="1" ht="19.5" customHeight="1" x14ac:dyDescent="0.25">
      <c r="A17" s="183" t="s">
        <v>158</v>
      </c>
      <c r="B17" s="183" t="s">
        <v>158</v>
      </c>
      <c r="C17" s="184">
        <v>0</v>
      </c>
      <c r="D17" s="183"/>
      <c r="E17" s="183"/>
      <c r="F17" s="185">
        <f t="shared" si="2"/>
        <v>0</v>
      </c>
      <c r="G17" s="181">
        <v>0</v>
      </c>
      <c r="H17" s="181">
        <v>0</v>
      </c>
      <c r="I17" s="181">
        <v>0</v>
      </c>
      <c r="J17" s="181">
        <v>0</v>
      </c>
      <c r="K17" s="181">
        <v>0</v>
      </c>
      <c r="L17" s="181">
        <v>0</v>
      </c>
      <c r="M17" s="181">
        <v>0</v>
      </c>
      <c r="N17" s="182">
        <v>0</v>
      </c>
      <c r="O17" s="186">
        <f t="shared" si="1"/>
        <v>0</v>
      </c>
    </row>
    <row r="18" spans="1:15" s="179" customFormat="1" ht="19.5" customHeight="1" x14ac:dyDescent="0.25">
      <c r="A18" s="183" t="s">
        <v>158</v>
      </c>
      <c r="B18" s="183" t="s">
        <v>158</v>
      </c>
      <c r="C18" s="184">
        <v>0</v>
      </c>
      <c r="D18" s="183"/>
      <c r="E18" s="183"/>
      <c r="F18" s="185">
        <f t="shared" ref="F18:F20" si="4">C18*D18*E18</f>
        <v>0</v>
      </c>
      <c r="G18" s="181">
        <v>0</v>
      </c>
      <c r="H18" s="181">
        <v>0</v>
      </c>
      <c r="I18" s="181">
        <v>0</v>
      </c>
      <c r="J18" s="181">
        <v>0</v>
      </c>
      <c r="K18" s="181">
        <v>0</v>
      </c>
      <c r="L18" s="181">
        <v>0</v>
      </c>
      <c r="M18" s="181">
        <v>0</v>
      </c>
      <c r="N18" s="182">
        <v>0</v>
      </c>
      <c r="O18" s="186">
        <f t="shared" si="1"/>
        <v>0</v>
      </c>
    </row>
    <row r="19" spans="1:15" s="179" customFormat="1" ht="19.5" customHeight="1" x14ac:dyDescent="0.25">
      <c r="A19" s="183" t="s">
        <v>158</v>
      </c>
      <c r="B19" s="183" t="s">
        <v>158</v>
      </c>
      <c r="C19" s="184">
        <v>0</v>
      </c>
      <c r="D19" s="183"/>
      <c r="E19" s="183"/>
      <c r="F19" s="185">
        <f t="shared" si="4"/>
        <v>0</v>
      </c>
      <c r="G19" s="181">
        <v>0</v>
      </c>
      <c r="H19" s="181">
        <v>0</v>
      </c>
      <c r="I19" s="181">
        <v>0</v>
      </c>
      <c r="J19" s="181">
        <v>0</v>
      </c>
      <c r="K19" s="181">
        <v>0</v>
      </c>
      <c r="L19" s="181">
        <v>0</v>
      </c>
      <c r="M19" s="181">
        <v>0</v>
      </c>
      <c r="N19" s="182">
        <v>0</v>
      </c>
      <c r="O19" s="186">
        <f t="shared" si="1"/>
        <v>0</v>
      </c>
    </row>
    <row r="20" spans="1:15" s="179" customFormat="1" ht="19.5" customHeight="1" x14ac:dyDescent="0.25">
      <c r="A20" s="183" t="s">
        <v>158</v>
      </c>
      <c r="B20" s="183" t="s">
        <v>158</v>
      </c>
      <c r="C20" s="184">
        <v>0</v>
      </c>
      <c r="D20" s="183"/>
      <c r="E20" s="183"/>
      <c r="F20" s="185">
        <f t="shared" si="4"/>
        <v>0</v>
      </c>
      <c r="G20" s="181">
        <v>0</v>
      </c>
      <c r="H20" s="181">
        <v>0</v>
      </c>
      <c r="I20" s="181">
        <v>0</v>
      </c>
      <c r="J20" s="181">
        <v>0</v>
      </c>
      <c r="K20" s="181">
        <v>0</v>
      </c>
      <c r="L20" s="181">
        <v>0</v>
      </c>
      <c r="M20" s="181">
        <v>0</v>
      </c>
      <c r="N20" s="182">
        <v>0</v>
      </c>
      <c r="O20" s="186">
        <f t="shared" si="1"/>
        <v>0</v>
      </c>
    </row>
    <row r="21" spans="1:15" s="179" customFormat="1" ht="19.5" customHeight="1" x14ac:dyDescent="0.25">
      <c r="A21" s="183" t="s">
        <v>158</v>
      </c>
      <c r="B21" s="183" t="s">
        <v>158</v>
      </c>
      <c r="C21" s="184">
        <v>0</v>
      </c>
      <c r="D21" s="183"/>
      <c r="E21" s="183"/>
      <c r="F21" s="185">
        <f t="shared" ref="F21:F23" si="5">C21*D21*E21</f>
        <v>0</v>
      </c>
      <c r="G21" s="181">
        <v>0</v>
      </c>
      <c r="H21" s="181">
        <v>0</v>
      </c>
      <c r="I21" s="181">
        <v>0</v>
      </c>
      <c r="J21" s="181">
        <v>0</v>
      </c>
      <c r="K21" s="181">
        <v>0</v>
      </c>
      <c r="L21" s="181">
        <v>0</v>
      </c>
      <c r="M21" s="181">
        <v>0</v>
      </c>
      <c r="N21" s="182">
        <v>0</v>
      </c>
      <c r="O21" s="186">
        <f t="shared" si="1"/>
        <v>0</v>
      </c>
    </row>
    <row r="22" spans="1:15" s="179" customFormat="1" ht="19.5" customHeight="1" x14ac:dyDescent="0.25">
      <c r="A22" s="183" t="s">
        <v>158</v>
      </c>
      <c r="B22" s="183" t="s">
        <v>158</v>
      </c>
      <c r="C22" s="184">
        <v>0</v>
      </c>
      <c r="D22" s="183"/>
      <c r="E22" s="183"/>
      <c r="F22" s="185">
        <f t="shared" si="5"/>
        <v>0</v>
      </c>
      <c r="G22" s="181">
        <v>0</v>
      </c>
      <c r="H22" s="181">
        <v>0</v>
      </c>
      <c r="I22" s="181">
        <v>0</v>
      </c>
      <c r="J22" s="181">
        <v>0</v>
      </c>
      <c r="K22" s="181">
        <v>0</v>
      </c>
      <c r="L22" s="181">
        <v>0</v>
      </c>
      <c r="M22" s="181">
        <v>0</v>
      </c>
      <c r="N22" s="182">
        <v>0</v>
      </c>
      <c r="O22" s="186">
        <f t="shared" si="1"/>
        <v>0</v>
      </c>
    </row>
    <row r="23" spans="1:15" s="179" customFormat="1" ht="19.5" customHeight="1" x14ac:dyDescent="0.25">
      <c r="A23" s="183" t="s">
        <v>158</v>
      </c>
      <c r="B23" s="183" t="s">
        <v>158</v>
      </c>
      <c r="C23" s="184">
        <v>0</v>
      </c>
      <c r="D23" s="183"/>
      <c r="E23" s="183"/>
      <c r="F23" s="185">
        <f t="shared" si="5"/>
        <v>0</v>
      </c>
      <c r="G23" s="181">
        <v>0</v>
      </c>
      <c r="H23" s="181">
        <v>0</v>
      </c>
      <c r="I23" s="181">
        <v>0</v>
      </c>
      <c r="J23" s="181">
        <v>0</v>
      </c>
      <c r="K23" s="181">
        <v>0</v>
      </c>
      <c r="L23" s="181">
        <v>0</v>
      </c>
      <c r="M23" s="181">
        <v>0</v>
      </c>
      <c r="N23" s="182">
        <v>0</v>
      </c>
      <c r="O23" s="186">
        <f t="shared" si="1"/>
        <v>0</v>
      </c>
    </row>
    <row r="24" spans="1:15" s="179" customFormat="1" ht="16.5" customHeight="1" thickBot="1" x14ac:dyDescent="0.3">
      <c r="A24" s="187" t="s">
        <v>239</v>
      </c>
      <c r="B24" s="614" t="s">
        <v>480</v>
      </c>
      <c r="C24" s="615"/>
      <c r="D24" s="615"/>
      <c r="E24" s="616"/>
      <c r="F24" s="188">
        <v>0</v>
      </c>
      <c r="G24" s="272"/>
      <c r="H24" s="272"/>
      <c r="I24" s="272"/>
      <c r="J24" s="272"/>
      <c r="K24" s="272"/>
      <c r="L24" s="272"/>
      <c r="M24" s="272"/>
      <c r="N24" s="273"/>
      <c r="O24" s="274"/>
    </row>
    <row r="25" spans="1:15" s="179" customFormat="1" ht="19.95" customHeight="1" thickTop="1" x14ac:dyDescent="0.25">
      <c r="A25" s="192"/>
      <c r="B25" s="627" t="s">
        <v>483</v>
      </c>
      <c r="C25" s="627"/>
      <c r="D25" s="627"/>
      <c r="E25" s="628"/>
      <c r="F25" s="193">
        <f>SUM(F5:F24)</f>
        <v>0</v>
      </c>
      <c r="G25" s="193">
        <f t="shared" ref="G25:O25" si="6">SUM(G5:G24)</f>
        <v>0</v>
      </c>
      <c r="H25" s="193">
        <f t="shared" si="6"/>
        <v>0</v>
      </c>
      <c r="I25" s="193">
        <f t="shared" si="6"/>
        <v>0</v>
      </c>
      <c r="J25" s="193">
        <f t="shared" si="6"/>
        <v>0</v>
      </c>
      <c r="K25" s="193">
        <f t="shared" si="6"/>
        <v>0</v>
      </c>
      <c r="L25" s="193">
        <f t="shared" si="6"/>
        <v>0</v>
      </c>
      <c r="M25" s="193">
        <f t="shared" si="6"/>
        <v>0</v>
      </c>
      <c r="N25" s="193">
        <f t="shared" si="6"/>
        <v>0</v>
      </c>
      <c r="O25" s="193">
        <f t="shared" si="6"/>
        <v>0</v>
      </c>
    </row>
    <row r="26" spans="1:15" ht="30.6" customHeight="1" x14ac:dyDescent="0.25">
      <c r="A26" s="617" t="s">
        <v>487</v>
      </c>
      <c r="B26" s="618"/>
      <c r="C26" s="618"/>
      <c r="D26" s="618"/>
      <c r="E26" s="618"/>
      <c r="F26" s="618"/>
      <c r="G26" s="618"/>
      <c r="H26" s="618"/>
      <c r="I26" s="618"/>
      <c r="J26" s="618"/>
      <c r="K26" s="618"/>
      <c r="L26" s="618"/>
      <c r="M26" s="618"/>
      <c r="N26" s="618"/>
      <c r="O26" s="619"/>
    </row>
    <row r="27" spans="1:15" ht="26.4" x14ac:dyDescent="0.25">
      <c r="A27" s="194" t="s">
        <v>159</v>
      </c>
      <c r="B27" s="194" t="s">
        <v>175</v>
      </c>
      <c r="C27" s="194" t="s">
        <v>161</v>
      </c>
      <c r="D27" s="194" t="s">
        <v>181</v>
      </c>
      <c r="E27" s="194" t="s">
        <v>157</v>
      </c>
      <c r="F27" s="194" t="s">
        <v>160</v>
      </c>
      <c r="G27" s="194" t="s">
        <v>166</v>
      </c>
      <c r="H27" s="194" t="s">
        <v>162</v>
      </c>
      <c r="I27" s="194" t="s">
        <v>71</v>
      </c>
      <c r="J27" s="194" t="s">
        <v>163</v>
      </c>
      <c r="K27" s="194" t="s">
        <v>164</v>
      </c>
      <c r="L27" s="194" t="s">
        <v>72</v>
      </c>
      <c r="M27" s="194" t="s">
        <v>165</v>
      </c>
      <c r="N27" s="195" t="s">
        <v>245</v>
      </c>
      <c r="O27" s="194" t="s">
        <v>252</v>
      </c>
    </row>
    <row r="28" spans="1:15" s="179" customFormat="1" ht="19.5" customHeight="1" x14ac:dyDescent="0.25">
      <c r="A28" s="196"/>
      <c r="B28" s="196"/>
      <c r="C28" s="237">
        <v>0</v>
      </c>
      <c r="D28" s="197"/>
      <c r="E28" s="198"/>
      <c r="F28" s="203">
        <f t="shared" ref="F28:F35" si="7">C28*D28*E28</f>
        <v>0</v>
      </c>
      <c r="G28" s="201">
        <v>0</v>
      </c>
      <c r="H28" s="201">
        <v>0</v>
      </c>
      <c r="I28" s="201">
        <v>0</v>
      </c>
      <c r="J28" s="201">
        <v>0</v>
      </c>
      <c r="K28" s="201">
        <v>0</v>
      </c>
      <c r="L28" s="201">
        <v>0</v>
      </c>
      <c r="M28" s="201">
        <v>0</v>
      </c>
      <c r="N28" s="201">
        <v>0</v>
      </c>
      <c r="O28" s="204">
        <f t="shared" ref="O28:O35" si="8">SUM(G28:N28)</f>
        <v>0</v>
      </c>
    </row>
    <row r="29" spans="1:15" s="179" customFormat="1" ht="19.5" customHeight="1" x14ac:dyDescent="0.25">
      <c r="A29" s="196"/>
      <c r="B29" s="196"/>
      <c r="C29" s="237">
        <v>0</v>
      </c>
      <c r="D29" s="197"/>
      <c r="E29" s="198"/>
      <c r="F29" s="203">
        <f t="shared" si="7"/>
        <v>0</v>
      </c>
      <c r="G29" s="201">
        <v>0</v>
      </c>
      <c r="H29" s="201">
        <v>0</v>
      </c>
      <c r="I29" s="201">
        <v>0</v>
      </c>
      <c r="J29" s="201">
        <v>0</v>
      </c>
      <c r="K29" s="201">
        <v>0</v>
      </c>
      <c r="L29" s="201">
        <v>0</v>
      </c>
      <c r="M29" s="201">
        <v>0</v>
      </c>
      <c r="N29" s="201">
        <v>0</v>
      </c>
      <c r="O29" s="204">
        <f t="shared" si="8"/>
        <v>0</v>
      </c>
    </row>
    <row r="30" spans="1:15" s="179" customFormat="1" ht="19.5" customHeight="1" x14ac:dyDescent="0.25">
      <c r="A30" s="196"/>
      <c r="B30" s="196"/>
      <c r="C30" s="237">
        <v>0</v>
      </c>
      <c r="D30" s="197"/>
      <c r="E30" s="198"/>
      <c r="F30" s="203">
        <f t="shared" si="7"/>
        <v>0</v>
      </c>
      <c r="G30" s="201">
        <v>0</v>
      </c>
      <c r="H30" s="201">
        <v>0</v>
      </c>
      <c r="I30" s="201">
        <v>0</v>
      </c>
      <c r="J30" s="201">
        <v>0</v>
      </c>
      <c r="K30" s="201">
        <v>0</v>
      </c>
      <c r="L30" s="201">
        <v>0</v>
      </c>
      <c r="M30" s="201">
        <v>0</v>
      </c>
      <c r="N30" s="201">
        <v>0</v>
      </c>
      <c r="O30" s="204">
        <f t="shared" si="8"/>
        <v>0</v>
      </c>
    </row>
    <row r="31" spans="1:15" s="179" customFormat="1" ht="19.5" customHeight="1" x14ac:dyDescent="0.25">
      <c r="A31" s="196"/>
      <c r="B31" s="196"/>
      <c r="C31" s="237">
        <v>0</v>
      </c>
      <c r="D31" s="197"/>
      <c r="E31" s="198"/>
      <c r="F31" s="203">
        <f t="shared" si="7"/>
        <v>0</v>
      </c>
      <c r="G31" s="201">
        <v>0</v>
      </c>
      <c r="H31" s="201">
        <v>0</v>
      </c>
      <c r="I31" s="201">
        <v>0</v>
      </c>
      <c r="J31" s="201">
        <v>0</v>
      </c>
      <c r="K31" s="201">
        <v>0</v>
      </c>
      <c r="L31" s="201">
        <v>0</v>
      </c>
      <c r="M31" s="201">
        <v>0</v>
      </c>
      <c r="N31" s="201">
        <v>0</v>
      </c>
      <c r="O31" s="204">
        <f t="shared" si="8"/>
        <v>0</v>
      </c>
    </row>
    <row r="32" spans="1:15" s="179" customFormat="1" ht="19.5" customHeight="1" x14ac:dyDescent="0.25">
      <c r="A32" s="196"/>
      <c r="B32" s="196"/>
      <c r="C32" s="237">
        <v>0</v>
      </c>
      <c r="D32" s="197"/>
      <c r="E32" s="198"/>
      <c r="F32" s="203">
        <f t="shared" si="7"/>
        <v>0</v>
      </c>
      <c r="G32" s="201">
        <v>0</v>
      </c>
      <c r="H32" s="201">
        <v>0</v>
      </c>
      <c r="I32" s="201">
        <v>0</v>
      </c>
      <c r="J32" s="201">
        <v>0</v>
      </c>
      <c r="K32" s="201">
        <v>0</v>
      </c>
      <c r="L32" s="201">
        <v>0</v>
      </c>
      <c r="M32" s="201">
        <v>0</v>
      </c>
      <c r="N32" s="201">
        <v>0</v>
      </c>
      <c r="O32" s="204">
        <f t="shared" si="8"/>
        <v>0</v>
      </c>
    </row>
    <row r="33" spans="1:15" s="179" customFormat="1" ht="19.5" customHeight="1" x14ac:dyDescent="0.25">
      <c r="A33" s="196"/>
      <c r="B33" s="196"/>
      <c r="C33" s="237">
        <v>0</v>
      </c>
      <c r="D33" s="197"/>
      <c r="E33" s="198"/>
      <c r="F33" s="203">
        <f t="shared" si="7"/>
        <v>0</v>
      </c>
      <c r="G33" s="201">
        <v>0</v>
      </c>
      <c r="H33" s="201">
        <v>0</v>
      </c>
      <c r="I33" s="201">
        <v>0</v>
      </c>
      <c r="J33" s="201">
        <v>0</v>
      </c>
      <c r="K33" s="201">
        <v>0</v>
      </c>
      <c r="L33" s="201">
        <v>0</v>
      </c>
      <c r="M33" s="201">
        <v>0</v>
      </c>
      <c r="N33" s="201">
        <v>0</v>
      </c>
      <c r="O33" s="204">
        <f t="shared" si="8"/>
        <v>0</v>
      </c>
    </row>
    <row r="34" spans="1:15" s="179" customFormat="1" ht="19.5" customHeight="1" x14ac:dyDescent="0.25">
      <c r="A34" s="196"/>
      <c r="B34" s="196"/>
      <c r="C34" s="237">
        <v>0</v>
      </c>
      <c r="D34" s="197"/>
      <c r="E34" s="198"/>
      <c r="F34" s="203">
        <f t="shared" si="7"/>
        <v>0</v>
      </c>
      <c r="G34" s="201">
        <v>0</v>
      </c>
      <c r="H34" s="201">
        <v>0</v>
      </c>
      <c r="I34" s="201">
        <v>0</v>
      </c>
      <c r="J34" s="201">
        <v>0</v>
      </c>
      <c r="K34" s="201">
        <v>0</v>
      </c>
      <c r="L34" s="201">
        <v>0</v>
      </c>
      <c r="M34" s="201">
        <v>0</v>
      </c>
      <c r="N34" s="201">
        <v>0</v>
      </c>
      <c r="O34" s="204">
        <f t="shared" si="8"/>
        <v>0</v>
      </c>
    </row>
    <row r="35" spans="1:15" s="179" customFormat="1" ht="19.5" customHeight="1" x14ac:dyDescent="0.25">
      <c r="A35" s="196"/>
      <c r="B35" s="196"/>
      <c r="C35" s="237">
        <v>0</v>
      </c>
      <c r="D35" s="197"/>
      <c r="E35" s="198"/>
      <c r="F35" s="174">
        <f t="shared" si="7"/>
        <v>0</v>
      </c>
      <c r="G35" s="201">
        <v>0</v>
      </c>
      <c r="H35" s="201">
        <v>0</v>
      </c>
      <c r="I35" s="201">
        <v>0</v>
      </c>
      <c r="J35" s="201">
        <v>0</v>
      </c>
      <c r="K35" s="201">
        <v>0</v>
      </c>
      <c r="L35" s="201">
        <v>0</v>
      </c>
      <c r="M35" s="201">
        <v>0</v>
      </c>
      <c r="N35" s="201">
        <v>0</v>
      </c>
      <c r="O35" s="204">
        <f t="shared" si="8"/>
        <v>0</v>
      </c>
    </row>
    <row r="36" spans="1:15" s="179" customFormat="1" ht="19.5" customHeight="1" x14ac:dyDescent="0.25">
      <c r="A36" s="196"/>
      <c r="B36" s="196"/>
      <c r="C36" s="237">
        <v>0</v>
      </c>
      <c r="D36" s="197"/>
      <c r="E36" s="198"/>
      <c r="F36" s="199">
        <f>C36*D36*E36</f>
        <v>0</v>
      </c>
      <c r="G36" s="200">
        <v>0</v>
      </c>
      <c r="H36" s="200">
        <v>0</v>
      </c>
      <c r="I36" s="200">
        <v>0</v>
      </c>
      <c r="J36" s="200">
        <v>0</v>
      </c>
      <c r="K36" s="200">
        <v>0</v>
      </c>
      <c r="L36" s="200">
        <v>0</v>
      </c>
      <c r="M36" s="201">
        <v>0</v>
      </c>
      <c r="N36" s="201">
        <v>0</v>
      </c>
      <c r="O36" s="202">
        <f t="shared" ref="O36:O47" si="9">SUM(G36:N36)</f>
        <v>0</v>
      </c>
    </row>
    <row r="37" spans="1:15" s="179" customFormat="1" ht="19.5" customHeight="1" x14ac:dyDescent="0.25">
      <c r="A37" s="196"/>
      <c r="B37" s="196"/>
      <c r="C37" s="237">
        <v>0</v>
      </c>
      <c r="D37" s="197"/>
      <c r="E37" s="198"/>
      <c r="F37" s="203">
        <f t="shared" ref="F37:F47" si="10">C37*D37*E37</f>
        <v>0</v>
      </c>
      <c r="G37" s="201">
        <v>0</v>
      </c>
      <c r="H37" s="201">
        <v>0</v>
      </c>
      <c r="I37" s="201">
        <v>0</v>
      </c>
      <c r="J37" s="201">
        <v>0</v>
      </c>
      <c r="K37" s="201">
        <v>0</v>
      </c>
      <c r="L37" s="201">
        <v>0</v>
      </c>
      <c r="M37" s="201">
        <v>0</v>
      </c>
      <c r="N37" s="201">
        <v>0</v>
      </c>
      <c r="O37" s="204">
        <f t="shared" si="9"/>
        <v>0</v>
      </c>
    </row>
    <row r="38" spans="1:15" s="179" customFormat="1" ht="19.5" customHeight="1" x14ac:dyDescent="0.25">
      <c r="A38" s="196"/>
      <c r="B38" s="196"/>
      <c r="C38" s="237">
        <v>0</v>
      </c>
      <c r="D38" s="197"/>
      <c r="E38" s="198"/>
      <c r="F38" s="203">
        <f t="shared" si="10"/>
        <v>0</v>
      </c>
      <c r="G38" s="201">
        <v>0</v>
      </c>
      <c r="H38" s="201">
        <v>0</v>
      </c>
      <c r="I38" s="201">
        <v>0</v>
      </c>
      <c r="J38" s="201">
        <v>0</v>
      </c>
      <c r="K38" s="201">
        <v>0</v>
      </c>
      <c r="L38" s="201">
        <v>0</v>
      </c>
      <c r="M38" s="201">
        <v>0</v>
      </c>
      <c r="N38" s="201">
        <v>0</v>
      </c>
      <c r="O38" s="204">
        <f t="shared" si="9"/>
        <v>0</v>
      </c>
    </row>
    <row r="39" spans="1:15" s="179" customFormat="1" ht="19.5" customHeight="1" x14ac:dyDescent="0.25">
      <c r="A39" s="196"/>
      <c r="B39" s="196"/>
      <c r="C39" s="237">
        <v>0</v>
      </c>
      <c r="D39" s="197"/>
      <c r="E39" s="198"/>
      <c r="F39" s="203">
        <f t="shared" si="10"/>
        <v>0</v>
      </c>
      <c r="G39" s="201">
        <v>0</v>
      </c>
      <c r="H39" s="201">
        <v>0</v>
      </c>
      <c r="I39" s="201">
        <v>0</v>
      </c>
      <c r="J39" s="201">
        <v>0</v>
      </c>
      <c r="K39" s="201">
        <v>0</v>
      </c>
      <c r="L39" s="201">
        <v>0</v>
      </c>
      <c r="M39" s="201">
        <v>0</v>
      </c>
      <c r="N39" s="201">
        <v>0</v>
      </c>
      <c r="O39" s="204">
        <f t="shared" si="9"/>
        <v>0</v>
      </c>
    </row>
    <row r="40" spans="1:15" s="179" customFormat="1" ht="19.5" customHeight="1" x14ac:dyDescent="0.25">
      <c r="A40" s="196"/>
      <c r="B40" s="196"/>
      <c r="C40" s="237">
        <v>0</v>
      </c>
      <c r="D40" s="197"/>
      <c r="E40" s="198"/>
      <c r="F40" s="203">
        <f t="shared" si="10"/>
        <v>0</v>
      </c>
      <c r="G40" s="201">
        <v>0</v>
      </c>
      <c r="H40" s="201">
        <v>0</v>
      </c>
      <c r="I40" s="201">
        <v>0</v>
      </c>
      <c r="J40" s="201">
        <v>0</v>
      </c>
      <c r="K40" s="201">
        <v>0</v>
      </c>
      <c r="L40" s="201">
        <v>0</v>
      </c>
      <c r="M40" s="201">
        <v>0</v>
      </c>
      <c r="N40" s="201">
        <v>0</v>
      </c>
      <c r="O40" s="204">
        <f t="shared" si="9"/>
        <v>0</v>
      </c>
    </row>
    <row r="41" spans="1:15" s="179" customFormat="1" ht="19.5" customHeight="1" x14ac:dyDescent="0.25">
      <c r="A41" s="196"/>
      <c r="B41" s="196"/>
      <c r="C41" s="237">
        <v>0</v>
      </c>
      <c r="D41" s="197"/>
      <c r="E41" s="198"/>
      <c r="F41" s="203">
        <f t="shared" si="10"/>
        <v>0</v>
      </c>
      <c r="G41" s="201">
        <v>0</v>
      </c>
      <c r="H41" s="201">
        <v>0</v>
      </c>
      <c r="I41" s="201">
        <v>0</v>
      </c>
      <c r="J41" s="201">
        <v>0</v>
      </c>
      <c r="K41" s="201">
        <v>0</v>
      </c>
      <c r="L41" s="201">
        <v>0</v>
      </c>
      <c r="M41" s="201">
        <v>0</v>
      </c>
      <c r="N41" s="201">
        <v>0</v>
      </c>
      <c r="O41" s="204">
        <f t="shared" si="9"/>
        <v>0</v>
      </c>
    </row>
    <row r="42" spans="1:15" s="179" customFormat="1" ht="19.5" customHeight="1" x14ac:dyDescent="0.25">
      <c r="A42" s="196"/>
      <c r="B42" s="196"/>
      <c r="C42" s="237">
        <v>0</v>
      </c>
      <c r="D42" s="197"/>
      <c r="E42" s="198"/>
      <c r="F42" s="203">
        <f t="shared" si="10"/>
        <v>0</v>
      </c>
      <c r="G42" s="201">
        <v>0</v>
      </c>
      <c r="H42" s="201">
        <v>0</v>
      </c>
      <c r="I42" s="201">
        <v>0</v>
      </c>
      <c r="J42" s="201">
        <v>0</v>
      </c>
      <c r="K42" s="201">
        <v>0</v>
      </c>
      <c r="L42" s="201">
        <v>0</v>
      </c>
      <c r="M42" s="201">
        <v>0</v>
      </c>
      <c r="N42" s="201">
        <v>0</v>
      </c>
      <c r="O42" s="204">
        <f t="shared" si="9"/>
        <v>0</v>
      </c>
    </row>
    <row r="43" spans="1:15" s="179" customFormat="1" ht="19.5" customHeight="1" x14ac:dyDescent="0.25">
      <c r="A43" s="196"/>
      <c r="B43" s="196"/>
      <c r="C43" s="237">
        <v>0</v>
      </c>
      <c r="D43" s="197"/>
      <c r="E43" s="198"/>
      <c r="F43" s="203">
        <f t="shared" si="10"/>
        <v>0</v>
      </c>
      <c r="G43" s="201">
        <v>0</v>
      </c>
      <c r="H43" s="201">
        <v>0</v>
      </c>
      <c r="I43" s="201">
        <v>0</v>
      </c>
      <c r="J43" s="201">
        <v>0</v>
      </c>
      <c r="K43" s="201">
        <v>0</v>
      </c>
      <c r="L43" s="201">
        <v>0</v>
      </c>
      <c r="M43" s="201">
        <v>0</v>
      </c>
      <c r="N43" s="201">
        <v>0</v>
      </c>
      <c r="O43" s="204">
        <f t="shared" si="9"/>
        <v>0</v>
      </c>
    </row>
    <row r="44" spans="1:15" s="179" customFormat="1" ht="19.5" customHeight="1" x14ac:dyDescent="0.25">
      <c r="A44" s="196"/>
      <c r="B44" s="196"/>
      <c r="C44" s="237">
        <v>0</v>
      </c>
      <c r="D44" s="197"/>
      <c r="E44" s="198"/>
      <c r="F44" s="203">
        <f t="shared" si="10"/>
        <v>0</v>
      </c>
      <c r="G44" s="201">
        <v>0</v>
      </c>
      <c r="H44" s="201">
        <v>0</v>
      </c>
      <c r="I44" s="201">
        <v>0</v>
      </c>
      <c r="J44" s="201">
        <v>0</v>
      </c>
      <c r="K44" s="201">
        <v>0</v>
      </c>
      <c r="L44" s="201">
        <v>0</v>
      </c>
      <c r="M44" s="201">
        <v>0</v>
      </c>
      <c r="N44" s="201">
        <v>0</v>
      </c>
      <c r="O44" s="204">
        <f t="shared" si="9"/>
        <v>0</v>
      </c>
    </row>
    <row r="45" spans="1:15" s="179" customFormat="1" ht="19.5" customHeight="1" x14ac:dyDescent="0.25">
      <c r="A45" s="196"/>
      <c r="B45" s="196"/>
      <c r="C45" s="237">
        <v>0</v>
      </c>
      <c r="D45" s="197"/>
      <c r="E45" s="198"/>
      <c r="F45" s="203">
        <f t="shared" si="10"/>
        <v>0</v>
      </c>
      <c r="G45" s="201">
        <v>0</v>
      </c>
      <c r="H45" s="201">
        <v>0</v>
      </c>
      <c r="I45" s="201">
        <v>0</v>
      </c>
      <c r="J45" s="201">
        <v>0</v>
      </c>
      <c r="K45" s="201">
        <v>0</v>
      </c>
      <c r="L45" s="201">
        <v>0</v>
      </c>
      <c r="M45" s="201">
        <v>0</v>
      </c>
      <c r="N45" s="201">
        <v>0</v>
      </c>
      <c r="O45" s="204">
        <f t="shared" si="9"/>
        <v>0</v>
      </c>
    </row>
    <row r="46" spans="1:15" s="179" customFormat="1" ht="19.5" customHeight="1" x14ac:dyDescent="0.25">
      <c r="A46" s="196"/>
      <c r="B46" s="196"/>
      <c r="C46" s="237">
        <v>0</v>
      </c>
      <c r="D46" s="197"/>
      <c r="E46" s="198"/>
      <c r="F46" s="203">
        <f t="shared" si="10"/>
        <v>0</v>
      </c>
      <c r="G46" s="201">
        <v>0</v>
      </c>
      <c r="H46" s="201">
        <v>0</v>
      </c>
      <c r="I46" s="201">
        <v>0</v>
      </c>
      <c r="J46" s="201">
        <v>0</v>
      </c>
      <c r="K46" s="201">
        <v>0</v>
      </c>
      <c r="L46" s="201">
        <v>0</v>
      </c>
      <c r="M46" s="201">
        <v>0</v>
      </c>
      <c r="N46" s="201">
        <v>0</v>
      </c>
      <c r="O46" s="204">
        <f t="shared" si="9"/>
        <v>0</v>
      </c>
    </row>
    <row r="47" spans="1:15" s="179" customFormat="1" ht="19.5" customHeight="1" x14ac:dyDescent="0.25">
      <c r="A47" s="196"/>
      <c r="B47" s="196"/>
      <c r="C47" s="237">
        <v>0</v>
      </c>
      <c r="D47" s="197"/>
      <c r="E47" s="198"/>
      <c r="F47" s="203">
        <f t="shared" si="10"/>
        <v>0</v>
      </c>
      <c r="G47" s="201">
        <v>0</v>
      </c>
      <c r="H47" s="201">
        <v>0</v>
      </c>
      <c r="I47" s="201">
        <v>0</v>
      </c>
      <c r="J47" s="201">
        <v>0</v>
      </c>
      <c r="K47" s="201">
        <v>0</v>
      </c>
      <c r="L47" s="201">
        <v>0</v>
      </c>
      <c r="M47" s="201">
        <v>0</v>
      </c>
      <c r="N47" s="201">
        <v>0</v>
      </c>
      <c r="O47" s="204">
        <f t="shared" si="9"/>
        <v>0</v>
      </c>
    </row>
    <row r="48" spans="1:15" s="179" customFormat="1" ht="19.5" customHeight="1" thickBot="1" x14ac:dyDescent="0.3">
      <c r="A48" s="206" t="s">
        <v>239</v>
      </c>
      <c r="B48" s="620" t="s">
        <v>481</v>
      </c>
      <c r="C48" s="621"/>
      <c r="D48" s="621"/>
      <c r="E48" s="622"/>
      <c r="F48" s="207">
        <v>0</v>
      </c>
      <c r="G48" s="189"/>
      <c r="H48" s="189"/>
      <c r="I48" s="189"/>
      <c r="J48" s="189"/>
      <c r="K48" s="189"/>
      <c r="L48" s="189"/>
      <c r="M48" s="189"/>
      <c r="N48" s="190"/>
      <c r="O48" s="191"/>
    </row>
    <row r="49" spans="1:15" s="179" customFormat="1" ht="19.95" customHeight="1" thickTop="1" thickBot="1" x14ac:dyDescent="0.3">
      <c r="A49" s="208"/>
      <c r="B49" s="625" t="s">
        <v>484</v>
      </c>
      <c r="C49" s="625"/>
      <c r="D49" s="625"/>
      <c r="E49" s="626"/>
      <c r="F49" s="209">
        <f>SUM(F28:F48)</f>
        <v>0</v>
      </c>
      <c r="G49" s="209">
        <f t="shared" ref="G49:O49" si="11">SUM(G28:G48)</f>
        <v>0</v>
      </c>
      <c r="H49" s="209">
        <f t="shared" si="11"/>
        <v>0</v>
      </c>
      <c r="I49" s="209">
        <f t="shared" si="11"/>
        <v>0</v>
      </c>
      <c r="J49" s="209">
        <f t="shared" si="11"/>
        <v>0</v>
      </c>
      <c r="K49" s="209">
        <f t="shared" si="11"/>
        <v>0</v>
      </c>
      <c r="L49" s="209">
        <f t="shared" si="11"/>
        <v>0</v>
      </c>
      <c r="M49" s="209">
        <f t="shared" si="11"/>
        <v>0</v>
      </c>
      <c r="N49" s="209">
        <f t="shared" si="11"/>
        <v>0</v>
      </c>
      <c r="O49" s="209">
        <f t="shared" si="11"/>
        <v>0</v>
      </c>
    </row>
    <row r="50" spans="1:15" ht="39.6" customHeight="1" thickTop="1" x14ac:dyDescent="0.25">
      <c r="A50" s="639" t="s">
        <v>479</v>
      </c>
      <c r="B50" s="640"/>
      <c r="C50" s="640"/>
      <c r="D50" s="640"/>
      <c r="E50" s="640"/>
      <c r="F50" s="640"/>
      <c r="G50" s="640"/>
      <c r="H50" s="640"/>
      <c r="I50" s="640"/>
      <c r="J50" s="640"/>
      <c r="K50" s="640"/>
      <c r="L50" s="640"/>
      <c r="M50" s="640"/>
      <c r="N50" s="640"/>
      <c r="O50" s="641"/>
    </row>
    <row r="51" spans="1:15" ht="30" customHeight="1" x14ac:dyDescent="0.25">
      <c r="A51" s="211" t="s">
        <v>159</v>
      </c>
      <c r="B51" s="211" t="s">
        <v>175</v>
      </c>
      <c r="C51" s="629" t="s">
        <v>486</v>
      </c>
      <c r="D51" s="630"/>
      <c r="E51" s="630"/>
      <c r="F51" s="630"/>
      <c r="G51" s="631"/>
      <c r="H51" s="277"/>
      <c r="I51" s="277"/>
      <c r="J51" s="277"/>
      <c r="K51" s="277"/>
      <c r="L51" s="277"/>
      <c r="M51" s="277"/>
      <c r="N51" s="277"/>
      <c r="O51" s="278"/>
    </row>
    <row r="52" spans="1:15" s="179" customFormat="1" ht="19.5" customHeight="1" x14ac:dyDescent="0.25">
      <c r="A52" s="212"/>
      <c r="B52" s="212"/>
      <c r="C52" s="632"/>
      <c r="D52" s="633"/>
      <c r="E52" s="633"/>
      <c r="F52" s="633"/>
      <c r="G52" s="634"/>
      <c r="H52" s="279"/>
      <c r="I52" s="279"/>
      <c r="J52" s="280"/>
      <c r="K52" s="279"/>
      <c r="L52" s="280"/>
      <c r="M52" s="280"/>
      <c r="N52" s="279"/>
      <c r="O52" s="281"/>
    </row>
    <row r="53" spans="1:15" s="179" customFormat="1" ht="19.5" customHeight="1" x14ac:dyDescent="0.25">
      <c r="A53" s="212"/>
      <c r="B53" s="212"/>
      <c r="C53" s="632"/>
      <c r="D53" s="633"/>
      <c r="E53" s="633"/>
      <c r="F53" s="633"/>
      <c r="G53" s="634"/>
      <c r="H53" s="279"/>
      <c r="I53" s="279"/>
      <c r="J53" s="280"/>
      <c r="K53" s="279"/>
      <c r="L53" s="280"/>
      <c r="M53" s="280"/>
      <c r="N53" s="279"/>
      <c r="O53" s="281"/>
    </row>
    <row r="54" spans="1:15" s="179" customFormat="1" ht="19.5" customHeight="1" x14ac:dyDescent="0.25">
      <c r="A54" s="213"/>
      <c r="B54" s="212"/>
      <c r="C54" s="632"/>
      <c r="D54" s="633"/>
      <c r="E54" s="633"/>
      <c r="F54" s="633"/>
      <c r="G54" s="634"/>
      <c r="H54" s="279"/>
      <c r="I54" s="279"/>
      <c r="J54" s="280"/>
      <c r="K54" s="279"/>
      <c r="L54" s="280"/>
      <c r="M54" s="280"/>
      <c r="N54" s="279"/>
      <c r="O54" s="281"/>
    </row>
    <row r="55" spans="1:15" s="179" customFormat="1" ht="19.5" customHeight="1" x14ac:dyDescent="0.25">
      <c r="A55" s="212"/>
      <c r="B55" s="212"/>
      <c r="C55" s="632"/>
      <c r="D55" s="633"/>
      <c r="E55" s="633"/>
      <c r="F55" s="633"/>
      <c r="G55" s="634"/>
      <c r="H55" s="279"/>
      <c r="I55" s="279"/>
      <c r="J55" s="280"/>
      <c r="K55" s="279"/>
      <c r="L55" s="280"/>
      <c r="M55" s="280"/>
      <c r="N55" s="279"/>
      <c r="O55" s="281"/>
    </row>
    <row r="56" spans="1:15" s="179" customFormat="1" ht="19.5" customHeight="1" x14ac:dyDescent="0.25">
      <c r="A56" s="213"/>
      <c r="B56" s="212"/>
      <c r="C56" s="325"/>
      <c r="D56" s="326"/>
      <c r="E56" s="326"/>
      <c r="F56" s="635" t="s">
        <v>160</v>
      </c>
      <c r="G56" s="637" t="s">
        <v>258</v>
      </c>
      <c r="H56" s="279"/>
      <c r="I56" s="279"/>
      <c r="J56" s="280"/>
      <c r="K56" s="279"/>
      <c r="L56" s="280"/>
      <c r="M56" s="280"/>
      <c r="N56" s="279"/>
      <c r="O56" s="281"/>
    </row>
    <row r="57" spans="1:15" s="179" customFormat="1" ht="19.5" customHeight="1" thickBot="1" x14ac:dyDescent="0.3">
      <c r="A57" s="212"/>
      <c r="B57" s="212"/>
      <c r="C57" s="327"/>
      <c r="D57" s="328"/>
      <c r="E57" s="328"/>
      <c r="F57" s="636"/>
      <c r="G57" s="638"/>
      <c r="H57" s="282"/>
      <c r="I57" s="280"/>
      <c r="J57" s="280"/>
      <c r="K57" s="280"/>
      <c r="L57" s="280"/>
      <c r="M57" s="280"/>
      <c r="N57" s="280"/>
      <c r="O57" s="281"/>
    </row>
    <row r="58" spans="1:15" s="179" customFormat="1" ht="21" customHeight="1" thickTop="1" thickBot="1" x14ac:dyDescent="0.3">
      <c r="A58" s="214"/>
      <c r="B58" s="623" t="s">
        <v>485</v>
      </c>
      <c r="C58" s="623"/>
      <c r="D58" s="623"/>
      <c r="E58" s="624"/>
      <c r="F58" s="253"/>
      <c r="G58" s="216"/>
      <c r="H58" s="283"/>
      <c r="I58" s="283"/>
      <c r="J58" s="283"/>
      <c r="K58" s="283"/>
      <c r="L58" s="283"/>
      <c r="M58" s="283"/>
      <c r="N58" s="283"/>
      <c r="O58" s="284"/>
    </row>
    <row r="59" spans="1:15" ht="13.8" thickTop="1" x14ac:dyDescent="0.25">
      <c r="G59" s="175"/>
      <c r="H59" s="175"/>
      <c r="I59" s="175"/>
      <c r="J59" s="175"/>
      <c r="K59" s="175"/>
      <c r="L59" s="175"/>
      <c r="M59" s="175"/>
      <c r="N59" s="175"/>
      <c r="O59" s="175"/>
    </row>
  </sheetData>
  <mergeCells count="12">
    <mergeCell ref="B58:E58"/>
    <mergeCell ref="B49:E49"/>
    <mergeCell ref="B25:E25"/>
    <mergeCell ref="C51:G55"/>
    <mergeCell ref="F56:F57"/>
    <mergeCell ref="G56:G57"/>
    <mergeCell ref="A50:O50"/>
    <mergeCell ref="A1:O1"/>
    <mergeCell ref="A3:O3"/>
    <mergeCell ref="B24:E24"/>
    <mergeCell ref="A26:O26"/>
    <mergeCell ref="B48:E48"/>
  </mergeCells>
  <printOptions horizontalCentered="1"/>
  <pageMargins left="0.7" right="0.7" top="0.75" bottom="0.75" header="0.3" footer="0.3"/>
  <pageSetup scale="41"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9A4E-477D-4299-9837-975759F21642}">
  <sheetPr>
    <tabColor theme="8" tint="0.79998168889431442"/>
    <pageSetUpPr fitToPage="1"/>
  </sheetPr>
  <dimension ref="A1:D22"/>
  <sheetViews>
    <sheetView showGridLines="0" workbookViewId="0">
      <selection activeCell="F12" sqref="F12"/>
    </sheetView>
  </sheetViews>
  <sheetFormatPr defaultRowHeight="13.2" x14ac:dyDescent="0.25"/>
  <cols>
    <col min="1" max="1" width="83" style="8" customWidth="1"/>
    <col min="2" max="2" width="21" style="9" customWidth="1"/>
    <col min="3" max="16384" width="8.88671875" style="8"/>
  </cols>
  <sheetData>
    <row r="1" spans="1:4" ht="47.4" customHeight="1" x14ac:dyDescent="0.25">
      <c r="A1" s="642" t="s">
        <v>448</v>
      </c>
      <c r="B1" s="503"/>
      <c r="C1" s="503"/>
    </row>
    <row r="2" spans="1:4" ht="24" customHeight="1" x14ac:dyDescent="0.25">
      <c r="A2" s="643" t="s">
        <v>476</v>
      </c>
      <c r="B2" s="643"/>
      <c r="C2" s="643"/>
    </row>
    <row r="3" spans="1:4" ht="45.6" customHeight="1" thickBot="1" x14ac:dyDescent="0.3">
      <c r="A3" s="218" t="s">
        <v>253</v>
      </c>
      <c r="B3" s="219" t="s">
        <v>449</v>
      </c>
      <c r="C3" s="218" t="s">
        <v>254</v>
      </c>
    </row>
    <row r="4" spans="1:4" ht="26.4" customHeight="1" x14ac:dyDescent="0.25">
      <c r="A4" s="195"/>
      <c r="B4" s="220" t="s">
        <v>274</v>
      </c>
      <c r="C4" s="271"/>
    </row>
    <row r="5" spans="1:4" ht="28.95" customHeight="1" x14ac:dyDescent="0.25">
      <c r="A5" s="254" t="s">
        <v>242</v>
      </c>
      <c r="B5" s="462">
        <f>SUM('10-Current Labor-Fringe'!F25)</f>
        <v>0</v>
      </c>
      <c r="C5" s="255"/>
    </row>
    <row r="6" spans="1:4" ht="28.95" customHeight="1" x14ac:dyDescent="0.25">
      <c r="A6" s="254" t="s">
        <v>244</v>
      </c>
      <c r="B6" s="258">
        <f>SUM('10-Current Labor-Fringe'!O25)</f>
        <v>0</v>
      </c>
      <c r="C6" s="255"/>
    </row>
    <row r="7" spans="1:4" ht="28.95" customHeight="1" x14ac:dyDescent="0.25">
      <c r="A7" s="256" t="s">
        <v>241</v>
      </c>
      <c r="B7" s="258">
        <f>SUM('10-Current Labor-Fringe'!F49)</f>
        <v>0</v>
      </c>
      <c r="C7" s="255"/>
    </row>
    <row r="8" spans="1:4" ht="28.95" customHeight="1" x14ac:dyDescent="0.25">
      <c r="A8" s="256" t="s">
        <v>243</v>
      </c>
      <c r="B8" s="258">
        <f>SUM('10-Current Labor-Fringe'!O49)</f>
        <v>0</v>
      </c>
      <c r="C8" s="255"/>
    </row>
    <row r="9" spans="1:4" ht="28.95" customHeight="1" x14ac:dyDescent="0.25">
      <c r="A9" s="257" t="s">
        <v>246</v>
      </c>
      <c r="B9" s="258">
        <f>SUM('10-Current Labor-Fringe'!F58)</f>
        <v>0</v>
      </c>
      <c r="C9" s="255"/>
    </row>
    <row r="10" spans="1:4" ht="28.95" customHeight="1" thickBot="1" x14ac:dyDescent="0.3">
      <c r="A10" s="257" t="s">
        <v>247</v>
      </c>
      <c r="B10" s="259">
        <f>SUM('10-Current Labor-Fringe'!G58)</f>
        <v>0</v>
      </c>
      <c r="C10" s="255"/>
    </row>
    <row r="11" spans="1:4" ht="28.95" customHeight="1" x14ac:dyDescent="0.25">
      <c r="A11" s="260" t="s">
        <v>459</v>
      </c>
      <c r="B11" s="463"/>
      <c r="C11" s="196"/>
    </row>
    <row r="12" spans="1:4" ht="28.95" customHeight="1" x14ac:dyDescent="0.25">
      <c r="A12" s="260" t="s">
        <v>461</v>
      </c>
      <c r="B12" s="464"/>
      <c r="C12" s="196"/>
    </row>
    <row r="13" spans="1:4" ht="28.95" customHeight="1" x14ac:dyDescent="0.25">
      <c r="A13" s="260" t="s">
        <v>460</v>
      </c>
      <c r="B13" s="464"/>
      <c r="C13" s="196"/>
    </row>
    <row r="14" spans="1:4" ht="28.95" customHeight="1" x14ac:dyDescent="0.25">
      <c r="A14" s="260" t="s">
        <v>462</v>
      </c>
      <c r="B14" s="464"/>
      <c r="C14" s="196"/>
      <c r="D14" s="8" t="s">
        <v>262</v>
      </c>
    </row>
    <row r="15" spans="1:4" ht="31.2" customHeight="1" x14ac:dyDescent="0.25">
      <c r="A15" s="260" t="s">
        <v>512</v>
      </c>
      <c r="B15" s="464"/>
      <c r="C15" s="196"/>
    </row>
    <row r="16" spans="1:4" ht="28.95" customHeight="1" x14ac:dyDescent="0.25">
      <c r="A16" s="260" t="s">
        <v>450</v>
      </c>
      <c r="B16" s="464"/>
      <c r="C16" s="196"/>
    </row>
    <row r="17" spans="1:3" ht="28.95" customHeight="1" x14ac:dyDescent="0.25">
      <c r="A17" s="260" t="s">
        <v>255</v>
      </c>
      <c r="B17" s="464"/>
      <c r="C17" s="196"/>
    </row>
    <row r="18" spans="1:3" ht="28.95" customHeight="1" x14ac:dyDescent="0.25">
      <c r="A18" s="260" t="s">
        <v>237</v>
      </c>
      <c r="B18" s="464"/>
      <c r="C18" s="196"/>
    </row>
    <row r="19" spans="1:3" ht="28.95" customHeight="1" x14ac:dyDescent="0.25">
      <c r="A19" s="260" t="s">
        <v>451</v>
      </c>
      <c r="B19" s="464"/>
      <c r="C19" s="196"/>
    </row>
    <row r="20" spans="1:3" ht="28.95" customHeight="1" x14ac:dyDescent="0.25">
      <c r="A20" s="260"/>
      <c r="B20" s="464"/>
      <c r="C20" s="196"/>
    </row>
    <row r="21" spans="1:3" ht="28.95" customHeight="1" thickBot="1" x14ac:dyDescent="0.3">
      <c r="A21" s="461"/>
      <c r="B21" s="465"/>
      <c r="C21" s="261"/>
    </row>
    <row r="22" spans="1:3" ht="30.6" customHeight="1" thickTop="1" x14ac:dyDescent="0.25">
      <c r="A22" s="221" t="s">
        <v>452</v>
      </c>
      <c r="B22" s="466">
        <f>SUM(B5:B21)</f>
        <v>0</v>
      </c>
      <c r="C22" s="222"/>
    </row>
  </sheetData>
  <mergeCells count="2">
    <mergeCell ref="A1:C1"/>
    <mergeCell ref="A2:C2"/>
  </mergeCells>
  <printOptions horizontalCentered="1"/>
  <pageMargins left="0.75" right="0.75" top="1" bottom="1" header="0.5" footer="0.5"/>
  <pageSetup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87F7-9920-451B-B47E-C666AC866E23}">
  <sheetPr>
    <tabColor theme="8" tint="0.79998168889431442"/>
    <pageSetUpPr fitToPage="1"/>
  </sheetPr>
  <dimension ref="A1:L107"/>
  <sheetViews>
    <sheetView showGridLines="0" zoomScale="92" zoomScaleNormal="92" workbookViewId="0">
      <selection activeCell="K16" sqref="K16"/>
    </sheetView>
  </sheetViews>
  <sheetFormatPr defaultColWidth="8.88671875" defaultRowHeight="13.2" x14ac:dyDescent="0.25"/>
  <cols>
    <col min="1" max="1" width="32.6640625" style="8" customWidth="1"/>
    <col min="2" max="2" width="14.88671875" style="8" customWidth="1"/>
    <col min="3" max="3" width="3.44140625" style="8" customWidth="1"/>
    <col min="4" max="4" width="9.6640625" style="8" customWidth="1"/>
    <col min="5" max="5" width="3.6640625" style="8" customWidth="1"/>
    <col min="6" max="6" width="14.5546875" style="9" customWidth="1"/>
    <col min="7" max="7" width="13.44140625" style="8" customWidth="1"/>
    <col min="8" max="8" width="13.33203125" style="8" customWidth="1"/>
    <col min="9" max="10" width="8.88671875" style="8"/>
    <col min="11" max="11" width="38.33203125" style="8" customWidth="1"/>
    <col min="12" max="12" width="12.6640625" style="8" customWidth="1"/>
    <col min="13" max="13" width="11.6640625" style="8" customWidth="1"/>
    <col min="14" max="16384" width="8.88671875" style="8"/>
  </cols>
  <sheetData>
    <row r="1" spans="1:8" ht="43.95" customHeight="1" x14ac:dyDescent="0.25">
      <c r="A1" s="503" t="s">
        <v>528</v>
      </c>
      <c r="B1" s="496"/>
      <c r="C1" s="496"/>
      <c r="D1" s="496"/>
      <c r="E1" s="496"/>
      <c r="F1" s="496"/>
      <c r="G1" s="496"/>
      <c r="H1" s="496"/>
    </row>
    <row r="2" spans="1:8" ht="33.6" customHeight="1" x14ac:dyDescent="0.25">
      <c r="A2" s="650" t="s">
        <v>453</v>
      </c>
      <c r="B2" s="650"/>
      <c r="C2" s="650"/>
      <c r="D2" s="650"/>
      <c r="E2" s="650"/>
      <c r="F2" s="650"/>
      <c r="G2" s="650"/>
      <c r="H2" s="650"/>
    </row>
    <row r="3" spans="1:8" ht="30.6" customHeight="1" x14ac:dyDescent="0.25">
      <c r="A3" s="651" t="s">
        <v>454</v>
      </c>
      <c r="B3" s="652"/>
      <c r="C3" s="653" t="s">
        <v>263</v>
      </c>
      <c r="D3" s="654"/>
      <c r="E3" s="654"/>
      <c r="F3" s="276" t="s">
        <v>264</v>
      </c>
      <c r="G3" s="276" t="s">
        <v>265</v>
      </c>
      <c r="H3" s="276" t="s">
        <v>266</v>
      </c>
    </row>
    <row r="4" spans="1:8" x14ac:dyDescent="0.25">
      <c r="A4" s="655" t="s">
        <v>133</v>
      </c>
      <c r="B4" s="656"/>
      <c r="C4" s="657"/>
      <c r="D4" s="657"/>
      <c r="E4" s="657"/>
      <c r="F4" s="329"/>
      <c r="G4" s="329"/>
      <c r="H4" s="330" t="s">
        <v>251</v>
      </c>
    </row>
    <row r="5" spans="1:8" x14ac:dyDescent="0.25">
      <c r="A5" s="655" t="s">
        <v>134</v>
      </c>
      <c r="B5" s="656"/>
      <c r="C5" s="657"/>
      <c r="D5" s="657"/>
      <c r="E5" s="657"/>
      <c r="F5" s="329"/>
      <c r="G5" s="329"/>
      <c r="H5" s="329"/>
    </row>
    <row r="6" spans="1:8" x14ac:dyDescent="0.25">
      <c r="A6" s="655" t="s">
        <v>135</v>
      </c>
      <c r="B6" s="656"/>
      <c r="C6" s="657"/>
      <c r="D6" s="657"/>
      <c r="E6" s="657"/>
      <c r="F6" s="329"/>
      <c r="G6" s="329"/>
      <c r="H6" s="329"/>
    </row>
    <row r="7" spans="1:8" ht="27.6" customHeight="1" x14ac:dyDescent="0.25">
      <c r="A7" s="93" t="s">
        <v>105</v>
      </c>
      <c r="B7" s="172" t="s">
        <v>256</v>
      </c>
      <c r="C7" s="658" t="s">
        <v>152</v>
      </c>
      <c r="D7" s="659"/>
      <c r="E7" s="659"/>
      <c r="F7" s="83" t="s">
        <v>70</v>
      </c>
      <c r="G7" s="84"/>
      <c r="H7" s="85"/>
    </row>
    <row r="8" spans="1:8" x14ac:dyDescent="0.25">
      <c r="A8" s="44" t="s">
        <v>150</v>
      </c>
      <c r="B8" s="46"/>
      <c r="C8" s="46"/>
      <c r="D8" s="46"/>
      <c r="E8" s="46"/>
      <c r="F8" s="49"/>
      <c r="G8" s="46"/>
      <c r="H8" s="45"/>
    </row>
    <row r="9" spans="1:8" x14ac:dyDescent="0.25">
      <c r="A9" s="66" t="s">
        <v>106</v>
      </c>
      <c r="B9" s="76"/>
      <c r="C9" s="40" t="s">
        <v>77</v>
      </c>
      <c r="D9" s="476"/>
      <c r="E9" s="41" t="s">
        <v>126</v>
      </c>
      <c r="F9" s="128"/>
      <c r="G9" s="644" t="s">
        <v>287</v>
      </c>
      <c r="H9" s="645"/>
    </row>
    <row r="10" spans="1:8" x14ac:dyDescent="0.25">
      <c r="A10" s="66" t="s">
        <v>107</v>
      </c>
      <c r="B10" s="76"/>
      <c r="C10" s="40" t="s">
        <v>77</v>
      </c>
      <c r="D10" s="476"/>
      <c r="E10" s="41" t="s">
        <v>126</v>
      </c>
      <c r="F10" s="128"/>
      <c r="G10" s="646"/>
      <c r="H10" s="647"/>
    </row>
    <row r="11" spans="1:8" x14ac:dyDescent="0.25">
      <c r="A11" s="66" t="s">
        <v>108</v>
      </c>
      <c r="B11" s="76"/>
      <c r="C11" s="40" t="s">
        <v>77</v>
      </c>
      <c r="D11" s="135">
        <v>0.3</v>
      </c>
      <c r="E11" s="42" t="s">
        <v>126</v>
      </c>
      <c r="F11" s="128"/>
      <c r="G11" s="648"/>
      <c r="H11" s="649"/>
    </row>
    <row r="12" spans="1:8" x14ac:dyDescent="0.25">
      <c r="A12" s="50"/>
      <c r="B12" s="76"/>
      <c r="C12" s="76"/>
      <c r="D12" s="51"/>
      <c r="E12" s="51"/>
      <c r="F12" s="61" t="s">
        <v>186</v>
      </c>
      <c r="G12" s="62">
        <f>SUM(F9:F11)</f>
        <v>0</v>
      </c>
      <c r="H12" s="52"/>
    </row>
    <row r="13" spans="1:8" x14ac:dyDescent="0.25">
      <c r="A13" s="44" t="s">
        <v>151</v>
      </c>
      <c r="B13" s="46"/>
      <c r="C13" s="46"/>
      <c r="D13" s="46"/>
      <c r="E13" s="46"/>
      <c r="F13" s="49"/>
      <c r="G13" s="46"/>
      <c r="H13" s="45"/>
    </row>
    <row r="14" spans="1:8" x14ac:dyDescent="0.25">
      <c r="A14" s="66" t="s">
        <v>106</v>
      </c>
      <c r="B14" s="76"/>
      <c r="C14" s="43" t="s">
        <v>77</v>
      </c>
      <c r="D14" s="11"/>
      <c r="E14" s="42" t="s">
        <v>126</v>
      </c>
      <c r="F14" s="128"/>
      <c r="G14" s="644" t="s">
        <v>287</v>
      </c>
      <c r="H14" s="645"/>
    </row>
    <row r="15" spans="1:8" x14ac:dyDescent="0.25">
      <c r="A15" s="66" t="s">
        <v>107</v>
      </c>
      <c r="B15" s="76"/>
      <c r="C15" s="43" t="s">
        <v>77</v>
      </c>
      <c r="D15" s="11"/>
      <c r="E15" s="42" t="s">
        <v>126</v>
      </c>
      <c r="F15" s="128"/>
      <c r="G15" s="646"/>
      <c r="H15" s="647"/>
    </row>
    <row r="16" spans="1:8" x14ac:dyDescent="0.25">
      <c r="A16" s="66" t="s">
        <v>108</v>
      </c>
      <c r="B16" s="76"/>
      <c r="C16" s="43" t="s">
        <v>77</v>
      </c>
      <c r="D16" s="135">
        <v>0.4</v>
      </c>
      <c r="E16" s="42" t="s">
        <v>126</v>
      </c>
      <c r="F16" s="128"/>
      <c r="G16" s="648"/>
      <c r="H16" s="649"/>
    </row>
    <row r="17" spans="1:12" x14ac:dyDescent="0.25">
      <c r="A17" s="50"/>
      <c r="B17" s="51"/>
      <c r="C17" s="51"/>
      <c r="D17" s="51"/>
      <c r="E17" s="51"/>
      <c r="F17" s="61" t="s">
        <v>187</v>
      </c>
      <c r="G17" s="62">
        <f>SUM(F14:F16)</f>
        <v>0</v>
      </c>
      <c r="H17" s="52"/>
    </row>
    <row r="18" spans="1:12" x14ac:dyDescent="0.25">
      <c r="A18" s="44" t="s">
        <v>182</v>
      </c>
      <c r="B18" s="46"/>
      <c r="C18" s="46"/>
      <c r="D18" s="46"/>
      <c r="E18" s="46"/>
      <c r="F18" s="49"/>
      <c r="G18" s="46"/>
      <c r="H18" s="45"/>
    </row>
    <row r="19" spans="1:12" x14ac:dyDescent="0.25">
      <c r="A19" s="66" t="s">
        <v>106</v>
      </c>
      <c r="B19" s="51"/>
      <c r="C19" s="48" t="s">
        <v>77</v>
      </c>
      <c r="D19" s="46"/>
      <c r="E19" s="48" t="s">
        <v>126</v>
      </c>
      <c r="F19" s="128"/>
      <c r="G19" s="60"/>
      <c r="H19" s="86"/>
    </row>
    <row r="20" spans="1:12" x14ac:dyDescent="0.25">
      <c r="A20" s="66" t="s">
        <v>107</v>
      </c>
      <c r="B20" s="51"/>
      <c r="C20" s="48" t="s">
        <v>77</v>
      </c>
      <c r="D20" s="477"/>
      <c r="E20" s="48" t="s">
        <v>126</v>
      </c>
      <c r="F20" s="128"/>
      <c r="H20" s="86"/>
    </row>
    <row r="21" spans="1:12" x14ac:dyDescent="0.25">
      <c r="A21" s="132"/>
      <c r="B21" s="51"/>
      <c r="C21" s="51"/>
      <c r="D21" s="51"/>
      <c r="E21" s="51"/>
      <c r="F21" s="61" t="s">
        <v>188</v>
      </c>
      <c r="G21" s="63">
        <f>SUM(F19:F20)</f>
        <v>0</v>
      </c>
      <c r="H21" s="52"/>
    </row>
    <row r="22" spans="1:12" ht="13.8" thickBot="1" x14ac:dyDescent="0.3">
      <c r="A22" s="44" t="s">
        <v>455</v>
      </c>
      <c r="B22" s="46"/>
      <c r="C22" s="46"/>
      <c r="D22" s="46"/>
      <c r="E22" s="46"/>
      <c r="F22" s="49"/>
      <c r="G22" s="46"/>
      <c r="H22" s="45"/>
    </row>
    <row r="23" spans="1:12" x14ac:dyDescent="0.25">
      <c r="A23" s="118" t="s">
        <v>205</v>
      </c>
      <c r="B23" s="10"/>
      <c r="C23" s="43" t="s">
        <v>77</v>
      </c>
      <c r="D23" s="11"/>
      <c r="E23" s="42" t="s">
        <v>126</v>
      </c>
      <c r="F23" s="128">
        <f>+B23*D23</f>
        <v>0</v>
      </c>
      <c r="G23" s="662" t="s">
        <v>267</v>
      </c>
      <c r="H23" s="663"/>
      <c r="K23" s="668" t="s">
        <v>172</v>
      </c>
      <c r="L23" s="669"/>
    </row>
    <row r="24" spans="1:12" x14ac:dyDescent="0.25">
      <c r="A24" s="118" t="s">
        <v>206</v>
      </c>
      <c r="B24" s="10"/>
      <c r="C24" s="43" t="s">
        <v>77</v>
      </c>
      <c r="D24" s="11"/>
      <c r="E24" s="42" t="s">
        <v>126</v>
      </c>
      <c r="F24" s="128">
        <f>+B24*D24</f>
        <v>0</v>
      </c>
      <c r="G24" s="664"/>
      <c r="H24" s="665"/>
      <c r="K24" s="104" t="s">
        <v>122</v>
      </c>
      <c r="L24" s="105">
        <v>4.6900000000000004</v>
      </c>
    </row>
    <row r="25" spans="1:12" x14ac:dyDescent="0.25">
      <c r="A25" s="670" t="s">
        <v>128</v>
      </c>
      <c r="B25" s="671"/>
      <c r="C25" s="671"/>
      <c r="D25" s="671"/>
      <c r="E25" s="671"/>
      <c r="F25" s="64">
        <v>0</v>
      </c>
      <c r="G25" s="664"/>
      <c r="H25" s="665"/>
      <c r="K25" s="106" t="s">
        <v>123</v>
      </c>
      <c r="L25" s="475">
        <v>0.45</v>
      </c>
    </row>
    <row r="26" spans="1:12" ht="13.8" thickBot="1" x14ac:dyDescent="0.3">
      <c r="A26" s="670" t="s">
        <v>129</v>
      </c>
      <c r="B26" s="671"/>
      <c r="C26" s="671"/>
      <c r="D26" s="671"/>
      <c r="E26" s="671"/>
      <c r="F26" s="64">
        <v>0</v>
      </c>
      <c r="G26" s="664"/>
      <c r="H26" s="665"/>
      <c r="K26" s="136" t="s">
        <v>70</v>
      </c>
      <c r="L26" s="137">
        <f>SUM(L24:L25)</f>
        <v>5.1400000000000006</v>
      </c>
    </row>
    <row r="27" spans="1:12" x14ac:dyDescent="0.25">
      <c r="A27" s="670" t="s">
        <v>130</v>
      </c>
      <c r="B27" s="671"/>
      <c r="C27" s="671"/>
      <c r="D27" s="671"/>
      <c r="E27" s="671"/>
      <c r="F27" s="64">
        <v>0</v>
      </c>
      <c r="G27" s="664"/>
      <c r="H27" s="665"/>
      <c r="K27" s="138" t="s">
        <v>148</v>
      </c>
      <c r="L27" s="139">
        <f>SUM(G33)</f>
        <v>0</v>
      </c>
    </row>
    <row r="28" spans="1:12" x14ac:dyDescent="0.25">
      <c r="A28" s="670" t="s">
        <v>131</v>
      </c>
      <c r="B28" s="671"/>
      <c r="C28" s="671"/>
      <c r="D28" s="671"/>
      <c r="E28" s="671"/>
      <c r="F28" s="64">
        <v>0</v>
      </c>
      <c r="G28" s="664"/>
      <c r="H28" s="665"/>
      <c r="K28" s="672" t="s">
        <v>184</v>
      </c>
      <c r="L28" s="674">
        <f>+L27/L26</f>
        <v>0</v>
      </c>
    </row>
    <row r="29" spans="1:12" ht="13.8" thickBot="1" x14ac:dyDescent="0.3">
      <c r="A29" s="670" t="s">
        <v>520</v>
      </c>
      <c r="B29" s="671"/>
      <c r="C29" s="671"/>
      <c r="D29" s="671"/>
      <c r="E29" s="671"/>
      <c r="F29" s="64">
        <v>0</v>
      </c>
      <c r="G29" s="664"/>
      <c r="H29" s="665"/>
      <c r="K29" s="673"/>
      <c r="L29" s="675"/>
    </row>
    <row r="30" spans="1:12" ht="13.8" thickTop="1" x14ac:dyDescent="0.25">
      <c r="A30" s="670" t="s">
        <v>521</v>
      </c>
      <c r="B30" s="671"/>
      <c r="C30" s="671"/>
      <c r="D30" s="671"/>
      <c r="E30" s="671"/>
      <c r="F30" s="64">
        <v>0</v>
      </c>
      <c r="G30" s="664"/>
      <c r="H30" s="665"/>
      <c r="K30" s="478" t="s">
        <v>522</v>
      </c>
      <c r="L30" s="479">
        <f>SUM(B43,B62,B82)/2</f>
        <v>0</v>
      </c>
    </row>
    <row r="31" spans="1:12" x14ac:dyDescent="0.25">
      <c r="A31" s="670" t="s">
        <v>109</v>
      </c>
      <c r="B31" s="671"/>
      <c r="C31" s="671"/>
      <c r="D31" s="671"/>
      <c r="E31" s="671"/>
      <c r="F31" s="64">
        <v>0</v>
      </c>
      <c r="G31" s="664"/>
      <c r="H31" s="665"/>
      <c r="K31" s="104" t="s">
        <v>523</v>
      </c>
      <c r="L31" s="480">
        <f>SUM(B51,B67,B86)</f>
        <v>0</v>
      </c>
    </row>
    <row r="32" spans="1:12" x14ac:dyDescent="0.25">
      <c r="A32" s="670" t="s">
        <v>268</v>
      </c>
      <c r="B32" s="671"/>
      <c r="C32" s="671"/>
      <c r="D32" s="671"/>
      <c r="E32" s="671"/>
      <c r="F32" s="64">
        <v>0</v>
      </c>
      <c r="G32" s="666"/>
      <c r="H32" s="667"/>
      <c r="K32" s="104" t="s">
        <v>524</v>
      </c>
      <c r="L32" s="480">
        <f>SUM(B56,B72,B90)/3</f>
        <v>0</v>
      </c>
    </row>
    <row r="33" spans="1:12" x14ac:dyDescent="0.25">
      <c r="A33" s="50"/>
      <c r="B33" s="51"/>
      <c r="C33" s="51"/>
      <c r="D33" s="51"/>
      <c r="E33" s="51"/>
      <c r="F33" s="65" t="s">
        <v>189</v>
      </c>
      <c r="G33" s="62">
        <f>SUM(F23:F32)</f>
        <v>0</v>
      </c>
      <c r="H33" s="52"/>
      <c r="K33" s="481" t="s">
        <v>525</v>
      </c>
      <c r="L33" s="480">
        <f>SUM(B77,B94)</f>
        <v>0</v>
      </c>
    </row>
    <row r="34" spans="1:12" ht="13.8" thickBot="1" x14ac:dyDescent="0.3">
      <c r="A34" s="53"/>
      <c r="B34" s="54"/>
      <c r="C34" s="54"/>
      <c r="D34" s="54"/>
      <c r="E34" s="54"/>
      <c r="F34" s="88"/>
      <c r="G34" s="55" t="s">
        <v>110</v>
      </c>
      <c r="H34" s="89">
        <f>SUM(G12,G17,G21,G33)</f>
        <v>0</v>
      </c>
      <c r="K34" s="482" t="s">
        <v>526</v>
      </c>
      <c r="L34" s="483">
        <f>SUM(L30:L33)</f>
        <v>0</v>
      </c>
    </row>
    <row r="35" spans="1:12" ht="41.4" customHeight="1" thickTop="1" thickBot="1" x14ac:dyDescent="0.3">
      <c r="A35" s="119" t="s">
        <v>207</v>
      </c>
      <c r="B35" s="79" t="s">
        <v>257</v>
      </c>
      <c r="C35" s="80"/>
      <c r="D35" s="79" t="s">
        <v>456</v>
      </c>
      <c r="E35" s="223"/>
      <c r="F35" s="81" t="s">
        <v>139</v>
      </c>
      <c r="G35" s="82"/>
      <c r="H35" s="47"/>
      <c r="K35" s="484" t="s">
        <v>527</v>
      </c>
      <c r="L35" s="485">
        <f>SUM(L28,L34)</f>
        <v>0</v>
      </c>
    </row>
    <row r="36" spans="1:12" x14ac:dyDescent="0.25">
      <c r="A36" s="660" t="s">
        <v>133</v>
      </c>
      <c r="B36" s="661"/>
      <c r="C36" s="661"/>
      <c r="D36" s="661"/>
      <c r="E36" s="661"/>
      <c r="F36" s="661"/>
      <c r="G36" s="661"/>
      <c r="H36" s="90"/>
    </row>
    <row r="37" spans="1:12" x14ac:dyDescent="0.25">
      <c r="A37" s="36" t="s">
        <v>83</v>
      </c>
      <c r="B37" s="60"/>
      <c r="C37" s="60"/>
      <c r="D37" s="60"/>
      <c r="E37" s="60"/>
      <c r="F37" s="38"/>
      <c r="G37" s="60"/>
      <c r="H37" s="86"/>
    </row>
    <row r="38" spans="1:12" x14ac:dyDescent="0.25">
      <c r="A38" s="99" t="s">
        <v>111</v>
      </c>
      <c r="B38" s="69"/>
      <c r="C38" s="39" t="s">
        <v>77</v>
      </c>
      <c r="D38" s="70">
        <v>2.46</v>
      </c>
      <c r="E38" s="100" t="s">
        <v>126</v>
      </c>
      <c r="F38" s="129">
        <f>+B38*D38</f>
        <v>0</v>
      </c>
      <c r="H38" s="91"/>
    </row>
    <row r="39" spans="1:12" x14ac:dyDescent="0.25">
      <c r="A39" s="66" t="s">
        <v>112</v>
      </c>
      <c r="B39" s="76"/>
      <c r="C39" s="40" t="s">
        <v>77</v>
      </c>
      <c r="D39" s="130">
        <v>2.94</v>
      </c>
      <c r="E39" s="67" t="s">
        <v>126</v>
      </c>
      <c r="F39" s="128">
        <f>+B39*D39</f>
        <v>0</v>
      </c>
      <c r="H39" s="86"/>
    </row>
    <row r="40" spans="1:12" x14ac:dyDescent="0.25">
      <c r="A40" s="66" t="s">
        <v>108</v>
      </c>
      <c r="B40" s="76"/>
      <c r="C40" s="40" t="s">
        <v>77</v>
      </c>
      <c r="D40" s="130">
        <v>2.16</v>
      </c>
      <c r="E40" s="67" t="s">
        <v>126</v>
      </c>
      <c r="F40" s="128">
        <f>+B40*D40</f>
        <v>0</v>
      </c>
      <c r="H40" s="86"/>
    </row>
    <row r="41" spans="1:12" x14ac:dyDescent="0.25">
      <c r="A41" s="66" t="s">
        <v>113</v>
      </c>
      <c r="B41" s="76"/>
      <c r="C41" s="40" t="s">
        <v>77</v>
      </c>
      <c r="D41" s="130">
        <v>2.64</v>
      </c>
      <c r="E41" s="67" t="s">
        <v>126</v>
      </c>
      <c r="F41" s="128">
        <f>+B41*D41</f>
        <v>0</v>
      </c>
      <c r="H41" s="86"/>
    </row>
    <row r="42" spans="1:12" x14ac:dyDescent="0.25">
      <c r="A42" s="66" t="s">
        <v>114</v>
      </c>
      <c r="B42" s="76"/>
      <c r="C42" s="40" t="s">
        <v>77</v>
      </c>
      <c r="D42" s="130">
        <v>0.4</v>
      </c>
      <c r="E42" s="67" t="s">
        <v>126</v>
      </c>
      <c r="F42" s="128">
        <f>+B42*D42</f>
        <v>0</v>
      </c>
      <c r="G42" s="12"/>
      <c r="H42" s="86"/>
    </row>
    <row r="43" spans="1:12" x14ac:dyDescent="0.25">
      <c r="A43" s="68" t="s">
        <v>185</v>
      </c>
      <c r="B43" s="134">
        <f>SUM(B38:B42)</f>
        <v>0</v>
      </c>
      <c r="C43" s="69"/>
      <c r="D43" s="70"/>
      <c r="E43" s="70"/>
      <c r="F43" s="71" t="s">
        <v>132</v>
      </c>
      <c r="G43" s="72">
        <f>SUM(F38:F42)</f>
        <v>0</v>
      </c>
      <c r="H43" s="52"/>
    </row>
    <row r="44" spans="1:12" x14ac:dyDescent="0.25">
      <c r="A44" s="36" t="s">
        <v>84</v>
      </c>
      <c r="B44" s="101"/>
      <c r="C44" s="101"/>
      <c r="D44" s="224"/>
      <c r="E44" s="224"/>
      <c r="F44" s="38"/>
      <c r="G44" s="37"/>
      <c r="H44" s="86"/>
    </row>
    <row r="45" spans="1:12" x14ac:dyDescent="0.25">
      <c r="A45" s="99" t="s">
        <v>111</v>
      </c>
      <c r="B45" s="69"/>
      <c r="C45" s="39" t="s">
        <v>77</v>
      </c>
      <c r="D45" s="70">
        <v>4.6900000000000004</v>
      </c>
      <c r="E45" s="100" t="s">
        <v>126</v>
      </c>
      <c r="F45" s="129">
        <f t="shared" ref="F45:F49" si="0">+B45*D45</f>
        <v>0</v>
      </c>
      <c r="G45" s="73"/>
      <c r="H45" s="86"/>
    </row>
    <row r="46" spans="1:12" x14ac:dyDescent="0.25">
      <c r="A46" s="66" t="s">
        <v>112</v>
      </c>
      <c r="B46" s="76"/>
      <c r="C46" s="40" t="s">
        <v>77</v>
      </c>
      <c r="D46" s="130">
        <v>4.71</v>
      </c>
      <c r="E46" s="67" t="s">
        <v>126</v>
      </c>
      <c r="F46" s="128">
        <f t="shared" si="0"/>
        <v>0</v>
      </c>
      <c r="G46" s="73"/>
      <c r="H46" s="87"/>
    </row>
    <row r="47" spans="1:12" x14ac:dyDescent="0.25">
      <c r="A47" s="66" t="s">
        <v>108</v>
      </c>
      <c r="B47" s="76"/>
      <c r="C47" s="40" t="s">
        <v>77</v>
      </c>
      <c r="D47" s="130">
        <v>4.29</v>
      </c>
      <c r="E47" s="67" t="s">
        <v>126</v>
      </c>
      <c r="F47" s="128">
        <f t="shared" si="0"/>
        <v>0</v>
      </c>
      <c r="G47" s="73"/>
      <c r="H47" s="86"/>
    </row>
    <row r="48" spans="1:12" x14ac:dyDescent="0.25">
      <c r="A48" s="66" t="s">
        <v>113</v>
      </c>
      <c r="B48" s="76"/>
      <c r="C48" s="40" t="s">
        <v>77</v>
      </c>
      <c r="D48" s="130">
        <v>4.3099999999999996</v>
      </c>
      <c r="E48" s="67" t="s">
        <v>126</v>
      </c>
      <c r="F48" s="128">
        <f t="shared" si="0"/>
        <v>0</v>
      </c>
      <c r="G48" s="73"/>
      <c r="H48" s="86"/>
    </row>
    <row r="49" spans="1:8" x14ac:dyDescent="0.25">
      <c r="A49" s="66" t="s">
        <v>114</v>
      </c>
      <c r="B49" s="76"/>
      <c r="C49" s="40" t="s">
        <v>77</v>
      </c>
      <c r="D49" s="130">
        <v>0.53</v>
      </c>
      <c r="E49" s="67" t="s">
        <v>126</v>
      </c>
      <c r="F49" s="128">
        <f t="shared" si="0"/>
        <v>0</v>
      </c>
      <c r="G49" s="73"/>
      <c r="H49" s="86"/>
    </row>
    <row r="50" spans="1:8" x14ac:dyDescent="0.25">
      <c r="A50" s="66" t="s">
        <v>119</v>
      </c>
      <c r="B50" s="76"/>
      <c r="C50" s="40" t="s">
        <v>77</v>
      </c>
      <c r="D50" s="130">
        <v>0.55000000000000004</v>
      </c>
      <c r="E50" s="67" t="s">
        <v>126</v>
      </c>
      <c r="F50" s="128">
        <f>+B50*D50</f>
        <v>0</v>
      </c>
      <c r="G50" s="74"/>
      <c r="H50" s="86"/>
    </row>
    <row r="51" spans="1:8" x14ac:dyDescent="0.25">
      <c r="A51" s="75" t="s">
        <v>185</v>
      </c>
      <c r="B51" s="133">
        <f>SUM(B45:B50)</f>
        <v>0</v>
      </c>
      <c r="C51" s="76"/>
      <c r="D51" s="77"/>
      <c r="E51" s="77"/>
      <c r="F51" s="65" t="s">
        <v>137</v>
      </c>
      <c r="G51" s="62">
        <f>SUM(F45:F50)</f>
        <v>0</v>
      </c>
      <c r="H51" s="52"/>
    </row>
    <row r="52" spans="1:8" x14ac:dyDescent="0.25">
      <c r="A52" s="36" t="s">
        <v>85</v>
      </c>
      <c r="B52" s="101"/>
      <c r="C52" s="101"/>
      <c r="D52" s="224"/>
      <c r="E52" s="224"/>
      <c r="F52" s="38"/>
      <c r="G52" s="37"/>
      <c r="H52" s="86"/>
    </row>
    <row r="53" spans="1:8" x14ac:dyDescent="0.25">
      <c r="A53" s="99" t="s">
        <v>111</v>
      </c>
      <c r="B53" s="69"/>
      <c r="C53" s="39" t="s">
        <v>77</v>
      </c>
      <c r="D53" s="225">
        <v>1.26</v>
      </c>
      <c r="E53" s="100" t="s">
        <v>126</v>
      </c>
      <c r="F53" s="129">
        <f>+B53*D53</f>
        <v>0</v>
      </c>
      <c r="G53" s="73"/>
      <c r="H53" s="86"/>
    </row>
    <row r="54" spans="1:8" x14ac:dyDescent="0.25">
      <c r="A54" s="66" t="s">
        <v>108</v>
      </c>
      <c r="B54" s="76"/>
      <c r="C54" s="40" t="s">
        <v>77</v>
      </c>
      <c r="D54" s="226">
        <v>0.63</v>
      </c>
      <c r="E54" s="67" t="s">
        <v>126</v>
      </c>
      <c r="F54" s="128">
        <f>+B54*D54</f>
        <v>0</v>
      </c>
      <c r="G54" s="73"/>
      <c r="H54" s="86"/>
    </row>
    <row r="55" spans="1:8" x14ac:dyDescent="0.25">
      <c r="A55" s="66" t="s">
        <v>114</v>
      </c>
      <c r="B55" s="76"/>
      <c r="C55" s="40" t="s">
        <v>77</v>
      </c>
      <c r="D55" s="226">
        <v>0.11</v>
      </c>
      <c r="E55" s="67" t="s">
        <v>126</v>
      </c>
      <c r="F55" s="128">
        <f>+B55*D55</f>
        <v>0</v>
      </c>
      <c r="G55" s="74"/>
      <c r="H55" s="86"/>
    </row>
    <row r="56" spans="1:8" x14ac:dyDescent="0.25">
      <c r="A56" s="75" t="s">
        <v>185</v>
      </c>
      <c r="B56" s="133">
        <f>SUM(B53:B55)</f>
        <v>0</v>
      </c>
      <c r="C56" s="76"/>
      <c r="D56" s="226"/>
      <c r="E56" s="226"/>
      <c r="F56" s="65" t="s">
        <v>138</v>
      </c>
      <c r="G56" s="62">
        <f>SUM(F53:F55)</f>
        <v>0</v>
      </c>
      <c r="H56" s="52"/>
    </row>
    <row r="57" spans="1:8" x14ac:dyDescent="0.25">
      <c r="A57" s="660" t="s">
        <v>134</v>
      </c>
      <c r="B57" s="661"/>
      <c r="C57" s="661"/>
      <c r="D57" s="661"/>
      <c r="E57" s="661"/>
      <c r="F57" s="661"/>
      <c r="G57" s="661"/>
      <c r="H57" s="90"/>
    </row>
    <row r="58" spans="1:8" x14ac:dyDescent="0.25">
      <c r="A58" s="36" t="s">
        <v>83</v>
      </c>
      <c r="B58" s="101"/>
      <c r="C58" s="101"/>
      <c r="D58" s="102"/>
      <c r="E58" s="102"/>
      <c r="F58" s="38"/>
      <c r="G58" s="37"/>
      <c r="H58" s="86"/>
    </row>
    <row r="59" spans="1:8" x14ac:dyDescent="0.25">
      <c r="A59" s="99" t="s">
        <v>115</v>
      </c>
      <c r="B59" s="69"/>
      <c r="C59" s="39" t="s">
        <v>77</v>
      </c>
      <c r="D59" s="70">
        <v>2.46</v>
      </c>
      <c r="E59" s="100" t="s">
        <v>126</v>
      </c>
      <c r="F59" s="129">
        <f>+B59*D59</f>
        <v>0</v>
      </c>
      <c r="G59" s="73"/>
      <c r="H59" s="86"/>
    </row>
    <row r="60" spans="1:8" x14ac:dyDescent="0.25">
      <c r="A60" s="66" t="s">
        <v>108</v>
      </c>
      <c r="B60" s="76"/>
      <c r="C60" s="40" t="s">
        <v>77</v>
      </c>
      <c r="D60" s="130">
        <v>2.16</v>
      </c>
      <c r="E60" s="67" t="s">
        <v>126</v>
      </c>
      <c r="F60" s="128">
        <f>+B60*D60</f>
        <v>0</v>
      </c>
      <c r="G60" s="73"/>
      <c r="H60" s="86"/>
    </row>
    <row r="61" spans="1:8" x14ac:dyDescent="0.25">
      <c r="A61" s="66" t="s">
        <v>116</v>
      </c>
      <c r="B61" s="76"/>
      <c r="C61" s="40" t="s">
        <v>77</v>
      </c>
      <c r="D61" s="130">
        <v>0.4</v>
      </c>
      <c r="E61" s="67" t="s">
        <v>126</v>
      </c>
      <c r="F61" s="128">
        <f>+B61*D61</f>
        <v>0</v>
      </c>
      <c r="G61" s="74"/>
      <c r="H61" s="86"/>
    </row>
    <row r="62" spans="1:8" x14ac:dyDescent="0.25">
      <c r="A62" s="75" t="s">
        <v>185</v>
      </c>
      <c r="B62" s="133">
        <f>SUM(B59:B61)</f>
        <v>0</v>
      </c>
      <c r="C62" s="76"/>
      <c r="D62" s="226"/>
      <c r="E62" s="226"/>
      <c r="F62" s="65" t="s">
        <v>140</v>
      </c>
      <c r="G62" s="62">
        <f>SUM(F59:F61)</f>
        <v>0</v>
      </c>
      <c r="H62" s="52"/>
    </row>
    <row r="63" spans="1:8" x14ac:dyDescent="0.25">
      <c r="A63" s="36" t="s">
        <v>84</v>
      </c>
      <c r="B63" s="101"/>
      <c r="C63" s="101"/>
      <c r="D63" s="227"/>
      <c r="E63" s="227"/>
      <c r="F63" s="38"/>
      <c r="G63" s="37"/>
      <c r="H63" s="86"/>
    </row>
    <row r="64" spans="1:8" x14ac:dyDescent="0.25">
      <c r="A64" s="99" t="s">
        <v>115</v>
      </c>
      <c r="B64" s="69"/>
      <c r="C64" s="39" t="s">
        <v>77</v>
      </c>
      <c r="D64" s="225">
        <v>4.5999999999999996</v>
      </c>
      <c r="E64" s="100" t="s">
        <v>126</v>
      </c>
      <c r="F64" s="129">
        <f>+B64*D64</f>
        <v>0</v>
      </c>
      <c r="G64" s="73"/>
      <c r="H64" s="86"/>
    </row>
    <row r="65" spans="1:8" x14ac:dyDescent="0.25">
      <c r="A65" s="66" t="s">
        <v>108</v>
      </c>
      <c r="B65" s="76"/>
      <c r="C65" s="40" t="s">
        <v>77</v>
      </c>
      <c r="D65" s="226">
        <v>4.2</v>
      </c>
      <c r="E65" s="67" t="s">
        <v>126</v>
      </c>
      <c r="F65" s="128">
        <f>+B65*D65</f>
        <v>0</v>
      </c>
      <c r="G65" s="73"/>
      <c r="H65" s="86"/>
    </row>
    <row r="66" spans="1:8" x14ac:dyDescent="0.25">
      <c r="A66" s="66" t="s">
        <v>114</v>
      </c>
      <c r="B66" s="76"/>
      <c r="C66" s="40" t="s">
        <v>77</v>
      </c>
      <c r="D66" s="226">
        <v>0.44</v>
      </c>
      <c r="E66" s="67" t="s">
        <v>126</v>
      </c>
      <c r="F66" s="128">
        <f>+B66*D66</f>
        <v>0</v>
      </c>
      <c r="G66" s="74"/>
      <c r="H66" s="86"/>
    </row>
    <row r="67" spans="1:8" x14ac:dyDescent="0.25">
      <c r="A67" s="75" t="s">
        <v>185</v>
      </c>
      <c r="B67" s="133">
        <f>SUM(B64:B66)</f>
        <v>0</v>
      </c>
      <c r="C67" s="76"/>
      <c r="D67" s="228"/>
      <c r="E67" s="228"/>
      <c r="F67" s="65" t="s">
        <v>141</v>
      </c>
      <c r="G67" s="62">
        <f>SUM(F64:F66)</f>
        <v>0</v>
      </c>
      <c r="H67" s="52"/>
    </row>
    <row r="68" spans="1:8" x14ac:dyDescent="0.25">
      <c r="A68" s="36" t="s">
        <v>85</v>
      </c>
      <c r="B68" s="101"/>
      <c r="C68" s="101"/>
      <c r="D68" s="224"/>
      <c r="E68" s="224"/>
      <c r="F68" s="38"/>
      <c r="G68" s="37"/>
      <c r="H68" s="86"/>
    </row>
    <row r="69" spans="1:8" x14ac:dyDescent="0.25">
      <c r="A69" s="99" t="s">
        <v>115</v>
      </c>
      <c r="B69" s="69"/>
      <c r="C69" s="39" t="s">
        <v>77</v>
      </c>
      <c r="D69" s="225">
        <v>1.26</v>
      </c>
      <c r="E69" s="100" t="s">
        <v>126</v>
      </c>
      <c r="F69" s="129">
        <f>+B69*D69</f>
        <v>0</v>
      </c>
      <c r="G69" s="73"/>
      <c r="H69" s="86"/>
    </row>
    <row r="70" spans="1:8" x14ac:dyDescent="0.25">
      <c r="A70" s="66" t="s">
        <v>108</v>
      </c>
      <c r="B70" s="76"/>
      <c r="C70" s="40" t="s">
        <v>77</v>
      </c>
      <c r="D70" s="226">
        <v>0.63</v>
      </c>
      <c r="E70" s="67" t="s">
        <v>126</v>
      </c>
      <c r="F70" s="128">
        <f>+B70*D70</f>
        <v>0</v>
      </c>
      <c r="G70" s="73"/>
      <c r="H70" s="86"/>
    </row>
    <row r="71" spans="1:8" x14ac:dyDescent="0.25">
      <c r="A71" s="66" t="s">
        <v>114</v>
      </c>
      <c r="B71" s="76"/>
      <c r="C71" s="40" t="s">
        <v>77</v>
      </c>
      <c r="D71" s="226">
        <v>0.11</v>
      </c>
      <c r="E71" s="67" t="s">
        <v>126</v>
      </c>
      <c r="F71" s="128">
        <f>+B71*D71</f>
        <v>0</v>
      </c>
      <c r="G71" s="74"/>
      <c r="H71" s="86"/>
    </row>
    <row r="72" spans="1:8" x14ac:dyDescent="0.25">
      <c r="A72" s="75" t="s">
        <v>185</v>
      </c>
      <c r="B72" s="133">
        <f>SUM(B69:B71)</f>
        <v>0</v>
      </c>
      <c r="C72" s="76"/>
      <c r="D72" s="226"/>
      <c r="E72" s="226"/>
      <c r="F72" s="65" t="s">
        <v>142</v>
      </c>
      <c r="G72" s="62">
        <f>SUM(F69:F71)</f>
        <v>0</v>
      </c>
      <c r="H72" s="52"/>
    </row>
    <row r="73" spans="1:8" x14ac:dyDescent="0.25">
      <c r="A73" s="36" t="s">
        <v>136</v>
      </c>
      <c r="B73" s="101"/>
      <c r="C73" s="101"/>
      <c r="D73" s="224"/>
      <c r="E73" s="224"/>
      <c r="F73" s="38"/>
      <c r="G73" s="37"/>
      <c r="H73" s="86"/>
    </row>
    <row r="74" spans="1:8" x14ac:dyDescent="0.25">
      <c r="A74" s="99" t="s">
        <v>115</v>
      </c>
      <c r="B74" s="69"/>
      <c r="C74" s="39" t="s">
        <v>77</v>
      </c>
      <c r="D74" s="225">
        <v>4.5999999999999996</v>
      </c>
      <c r="E74" s="100" t="s">
        <v>126</v>
      </c>
      <c r="F74" s="129">
        <f>+B74*D74</f>
        <v>0</v>
      </c>
      <c r="G74" s="73"/>
      <c r="H74" s="86"/>
    </row>
    <row r="75" spans="1:8" x14ac:dyDescent="0.25">
      <c r="A75" s="66" t="s">
        <v>108</v>
      </c>
      <c r="B75" s="76"/>
      <c r="C75" s="40" t="s">
        <v>77</v>
      </c>
      <c r="D75" s="226">
        <v>4.2</v>
      </c>
      <c r="E75" s="67" t="s">
        <v>126</v>
      </c>
      <c r="F75" s="128">
        <f>+B75*D75</f>
        <v>0</v>
      </c>
      <c r="G75" s="73"/>
      <c r="H75" s="86"/>
    </row>
    <row r="76" spans="1:8" x14ac:dyDescent="0.25">
      <c r="A76" s="66" t="s">
        <v>114</v>
      </c>
      <c r="B76" s="76"/>
      <c r="C76" s="40" t="s">
        <v>77</v>
      </c>
      <c r="D76" s="226">
        <v>0.44</v>
      </c>
      <c r="E76" s="67" t="s">
        <v>126</v>
      </c>
      <c r="F76" s="128">
        <f>+B76*D76</f>
        <v>0</v>
      </c>
      <c r="G76" s="74"/>
      <c r="H76" s="86"/>
    </row>
    <row r="77" spans="1:8" x14ac:dyDescent="0.25">
      <c r="A77" s="75" t="s">
        <v>185</v>
      </c>
      <c r="B77" s="133">
        <f>SUM(B74:B76)</f>
        <v>0</v>
      </c>
      <c r="C77" s="76"/>
      <c r="D77" s="77"/>
      <c r="E77" s="77"/>
      <c r="F77" s="65" t="s">
        <v>143</v>
      </c>
      <c r="G77" s="62">
        <f>SUM(F74:F76)</f>
        <v>0</v>
      </c>
      <c r="H77" s="52"/>
    </row>
    <row r="78" spans="1:8" x14ac:dyDescent="0.25">
      <c r="A78" s="660" t="s">
        <v>135</v>
      </c>
      <c r="B78" s="661"/>
      <c r="C78" s="661"/>
      <c r="D78" s="661"/>
      <c r="E78" s="661"/>
      <c r="F78" s="661"/>
      <c r="G78" s="661"/>
      <c r="H78" s="90"/>
    </row>
    <row r="79" spans="1:8" x14ac:dyDescent="0.25">
      <c r="A79" s="36" t="s">
        <v>83</v>
      </c>
      <c r="B79" s="101"/>
      <c r="C79" s="101"/>
      <c r="D79" s="224"/>
      <c r="E79" s="224"/>
      <c r="F79" s="38"/>
      <c r="G79" s="37"/>
      <c r="H79" s="86"/>
    </row>
    <row r="80" spans="1:8" x14ac:dyDescent="0.25">
      <c r="A80" s="99" t="s">
        <v>117</v>
      </c>
      <c r="B80" s="69"/>
      <c r="C80" s="39" t="s">
        <v>77</v>
      </c>
      <c r="D80" s="229">
        <v>3.03</v>
      </c>
      <c r="E80" s="100" t="s">
        <v>126</v>
      </c>
      <c r="F80" s="129">
        <f>+B80*D80</f>
        <v>0</v>
      </c>
      <c r="G80" s="73"/>
      <c r="H80" s="86"/>
    </row>
    <row r="81" spans="1:8" x14ac:dyDescent="0.25">
      <c r="A81" s="66" t="s">
        <v>118</v>
      </c>
      <c r="B81" s="76"/>
      <c r="C81" s="40" t="s">
        <v>77</v>
      </c>
      <c r="D81" s="228">
        <v>3.0874999999999999</v>
      </c>
      <c r="E81" s="67" t="s">
        <v>126</v>
      </c>
      <c r="F81" s="128">
        <f>+B81*D81</f>
        <v>0</v>
      </c>
      <c r="G81" s="73"/>
      <c r="H81" s="86"/>
    </row>
    <row r="82" spans="1:8" x14ac:dyDescent="0.25">
      <c r="A82" s="75" t="s">
        <v>185</v>
      </c>
      <c r="B82" s="133">
        <f>SUM(B80:B81)</f>
        <v>0</v>
      </c>
      <c r="C82" s="76"/>
      <c r="D82" s="226"/>
      <c r="E82" s="226"/>
      <c r="F82" s="65" t="s">
        <v>144</v>
      </c>
      <c r="G82" s="62">
        <f>SUM(F80:F81)</f>
        <v>0</v>
      </c>
      <c r="H82" s="52"/>
    </row>
    <row r="83" spans="1:8" x14ac:dyDescent="0.25">
      <c r="A83" s="36" t="s">
        <v>84</v>
      </c>
      <c r="B83" s="101"/>
      <c r="C83" s="101"/>
      <c r="D83" s="230"/>
      <c r="E83" s="230"/>
      <c r="F83" s="38"/>
      <c r="G83" s="60"/>
      <c r="H83" s="86"/>
    </row>
    <row r="84" spans="1:8" x14ac:dyDescent="0.25">
      <c r="A84" s="99" t="s">
        <v>117</v>
      </c>
      <c r="B84" s="69"/>
      <c r="C84" s="39" t="s">
        <v>77</v>
      </c>
      <c r="D84" s="229">
        <v>5.3150000000000004</v>
      </c>
      <c r="E84" s="100" t="s">
        <v>126</v>
      </c>
      <c r="F84" s="129">
        <f>+B84*D84</f>
        <v>0</v>
      </c>
      <c r="H84" s="86"/>
    </row>
    <row r="85" spans="1:8" x14ac:dyDescent="0.25">
      <c r="A85" s="66" t="s">
        <v>118</v>
      </c>
      <c r="B85" s="76"/>
      <c r="C85" s="40" t="s">
        <v>77</v>
      </c>
      <c r="D85" s="228">
        <v>5.4024999999999999</v>
      </c>
      <c r="E85" s="67" t="s">
        <v>126</v>
      </c>
      <c r="F85" s="128">
        <f>+B85*D85</f>
        <v>0</v>
      </c>
      <c r="G85" s="12"/>
      <c r="H85" s="86"/>
    </row>
    <row r="86" spans="1:8" x14ac:dyDescent="0.25">
      <c r="A86" s="75" t="s">
        <v>185</v>
      </c>
      <c r="B86" s="133">
        <f>SUM(B84:B85)</f>
        <v>0</v>
      </c>
      <c r="C86" s="76"/>
      <c r="D86" s="77"/>
      <c r="E86" s="77"/>
      <c r="F86" s="65" t="s">
        <v>145</v>
      </c>
      <c r="G86" s="62">
        <f>SUM(F84:F85)</f>
        <v>0</v>
      </c>
      <c r="H86" s="52"/>
    </row>
    <row r="87" spans="1:8" x14ac:dyDescent="0.25">
      <c r="A87" s="36" t="s">
        <v>85</v>
      </c>
      <c r="B87" s="101"/>
      <c r="C87" s="101"/>
      <c r="D87" s="224"/>
      <c r="E87" s="224"/>
      <c r="F87" s="38"/>
      <c r="G87" s="37"/>
      <c r="H87" s="86"/>
    </row>
    <row r="88" spans="1:8" x14ac:dyDescent="0.25">
      <c r="A88" s="99" t="s">
        <v>117</v>
      </c>
      <c r="B88" s="69"/>
      <c r="C88" s="39" t="s">
        <v>77</v>
      </c>
      <c r="D88" s="229">
        <v>1.25</v>
      </c>
      <c r="E88" s="100" t="s">
        <v>126</v>
      </c>
      <c r="F88" s="129">
        <f>+B88*D88</f>
        <v>0</v>
      </c>
      <c r="G88" s="73"/>
      <c r="H88" s="86"/>
    </row>
    <row r="89" spans="1:8" x14ac:dyDescent="0.25">
      <c r="A89" s="66" t="s">
        <v>118</v>
      </c>
      <c r="B89" s="76"/>
      <c r="C89" s="40" t="s">
        <v>77</v>
      </c>
      <c r="D89" s="228">
        <v>1.28</v>
      </c>
      <c r="E89" s="67" t="s">
        <v>126</v>
      </c>
      <c r="F89" s="128">
        <f>+B89*D89</f>
        <v>0</v>
      </c>
      <c r="G89" s="73"/>
      <c r="H89" s="86"/>
    </row>
    <row r="90" spans="1:8" x14ac:dyDescent="0.25">
      <c r="A90" s="75" t="s">
        <v>185</v>
      </c>
      <c r="B90" s="133">
        <f>SUM(B88:B89)</f>
        <v>0</v>
      </c>
      <c r="C90" s="76"/>
      <c r="D90" s="226"/>
      <c r="E90" s="226"/>
      <c r="F90" s="65" t="s">
        <v>146</v>
      </c>
      <c r="G90" s="62">
        <f>SUM(F88:F89)</f>
        <v>0</v>
      </c>
      <c r="H90" s="52"/>
    </row>
    <row r="91" spans="1:8" x14ac:dyDescent="0.25">
      <c r="A91" s="36" t="s">
        <v>136</v>
      </c>
      <c r="B91" s="101"/>
      <c r="C91" s="101"/>
      <c r="D91" s="230"/>
      <c r="E91" s="230"/>
      <c r="F91" s="38"/>
      <c r="G91" s="37"/>
      <c r="H91" s="86"/>
    </row>
    <row r="92" spans="1:8" x14ac:dyDescent="0.25">
      <c r="A92" s="99" t="s">
        <v>117</v>
      </c>
      <c r="B92" s="69"/>
      <c r="C92" s="39" t="s">
        <v>77</v>
      </c>
      <c r="D92" s="229">
        <v>5.3150000000000004</v>
      </c>
      <c r="E92" s="100" t="s">
        <v>126</v>
      </c>
      <c r="F92" s="129">
        <f>+B92*D92</f>
        <v>0</v>
      </c>
      <c r="G92" s="73"/>
      <c r="H92" s="86"/>
    </row>
    <row r="93" spans="1:8" x14ac:dyDescent="0.25">
      <c r="A93" s="66" t="s">
        <v>118</v>
      </c>
      <c r="B93" s="76"/>
      <c r="C93" s="40" t="s">
        <v>77</v>
      </c>
      <c r="D93" s="228">
        <v>5.4024999999999999</v>
      </c>
      <c r="E93" s="67" t="s">
        <v>126</v>
      </c>
      <c r="F93" s="128">
        <f>+B93*D93</f>
        <v>0</v>
      </c>
      <c r="G93" s="73"/>
      <c r="H93" s="86"/>
    </row>
    <row r="94" spans="1:8" x14ac:dyDescent="0.25">
      <c r="A94" s="75" t="s">
        <v>185</v>
      </c>
      <c r="B94" s="133">
        <f>SUM(B92:B93)</f>
        <v>0</v>
      </c>
      <c r="C94" s="76"/>
      <c r="D94" s="77"/>
      <c r="E94" s="77"/>
      <c r="F94" s="65" t="s">
        <v>147</v>
      </c>
      <c r="G94" s="62">
        <f>SUM(F92:F93)</f>
        <v>0</v>
      </c>
      <c r="H94" s="52"/>
    </row>
    <row r="95" spans="1:8" x14ac:dyDescent="0.25">
      <c r="A95" s="660" t="s">
        <v>182</v>
      </c>
      <c r="B95" s="661"/>
      <c r="C95" s="661"/>
      <c r="D95" s="661"/>
      <c r="E95" s="661"/>
      <c r="F95" s="661"/>
      <c r="G95" s="661"/>
      <c r="H95" s="90"/>
    </row>
    <row r="96" spans="1:8" x14ac:dyDescent="0.25">
      <c r="A96" s="66" t="s">
        <v>114</v>
      </c>
      <c r="B96" s="76"/>
      <c r="C96" s="40" t="s">
        <v>77</v>
      </c>
      <c r="D96" s="131">
        <v>0.26750000000000002</v>
      </c>
      <c r="E96" s="67" t="s">
        <v>126</v>
      </c>
      <c r="F96" s="128">
        <f>+B96*D96</f>
        <v>0</v>
      </c>
      <c r="G96" s="37"/>
      <c r="H96" s="87"/>
    </row>
    <row r="97" spans="1:8" x14ac:dyDescent="0.25">
      <c r="A97" s="66" t="s">
        <v>149</v>
      </c>
      <c r="B97" s="76"/>
      <c r="C97" s="40" t="s">
        <v>77</v>
      </c>
      <c r="D97" s="486"/>
      <c r="E97" s="67" t="s">
        <v>126</v>
      </c>
      <c r="F97" s="128">
        <f>+B97*D97</f>
        <v>0</v>
      </c>
      <c r="G97" s="73"/>
      <c r="H97" s="86"/>
    </row>
    <row r="98" spans="1:8" x14ac:dyDescent="0.25">
      <c r="A98" s="75" t="s">
        <v>185</v>
      </c>
      <c r="B98" s="133">
        <f>SUM(B96:B97)</f>
        <v>0</v>
      </c>
      <c r="C98" s="76"/>
      <c r="D98" s="77"/>
      <c r="E98" s="77"/>
      <c r="F98" s="61" t="s">
        <v>190</v>
      </c>
      <c r="G98" s="62">
        <f>SUM(F96:F97)</f>
        <v>0</v>
      </c>
      <c r="H98" s="52"/>
    </row>
    <row r="99" spans="1:8" x14ac:dyDescent="0.25">
      <c r="A99" s="660" t="s">
        <v>208</v>
      </c>
      <c r="B99" s="661"/>
      <c r="C99" s="661"/>
      <c r="D99" s="661"/>
      <c r="E99" s="661"/>
      <c r="F99" s="661"/>
      <c r="G99" s="661"/>
      <c r="H99" s="90"/>
    </row>
    <row r="100" spans="1:8" x14ac:dyDescent="0.25">
      <c r="A100" s="676" t="s">
        <v>457</v>
      </c>
      <c r="B100" s="677"/>
      <c r="C100" s="677"/>
      <c r="D100" s="677"/>
      <c r="E100" s="677"/>
      <c r="F100" s="13"/>
      <c r="G100" s="73"/>
      <c r="H100" s="86"/>
    </row>
    <row r="101" spans="1:8" x14ac:dyDescent="0.25">
      <c r="A101" s="676" t="s">
        <v>183</v>
      </c>
      <c r="B101" s="677"/>
      <c r="C101" s="677"/>
      <c r="D101" s="677"/>
      <c r="E101" s="677"/>
      <c r="F101" s="13"/>
      <c r="G101" s="73"/>
      <c r="H101" s="86"/>
    </row>
    <row r="102" spans="1:8" x14ac:dyDescent="0.25">
      <c r="A102" s="670" t="s">
        <v>120</v>
      </c>
      <c r="B102" s="671"/>
      <c r="C102" s="671"/>
      <c r="D102" s="671"/>
      <c r="E102" s="671"/>
      <c r="F102" s="64"/>
      <c r="G102" s="73"/>
      <c r="H102" s="86"/>
    </row>
    <row r="103" spans="1:8" x14ac:dyDescent="0.25">
      <c r="A103" s="670" t="s">
        <v>121</v>
      </c>
      <c r="B103" s="671"/>
      <c r="C103" s="671"/>
      <c r="D103" s="671"/>
      <c r="E103" s="671"/>
      <c r="F103" s="64"/>
      <c r="G103" s="73"/>
      <c r="H103" s="86"/>
    </row>
    <row r="104" spans="1:8" x14ac:dyDescent="0.25">
      <c r="A104" s="670" t="s">
        <v>153</v>
      </c>
      <c r="B104" s="671"/>
      <c r="C104" s="671"/>
      <c r="D104" s="671"/>
      <c r="E104" s="671"/>
      <c r="F104" s="64"/>
      <c r="G104" s="74"/>
      <c r="H104" s="86"/>
    </row>
    <row r="105" spans="1:8" x14ac:dyDescent="0.25">
      <c r="A105" s="50"/>
      <c r="B105" s="51"/>
      <c r="C105" s="51"/>
      <c r="D105" s="51"/>
      <c r="E105" s="51"/>
      <c r="F105" s="65" t="s">
        <v>209</v>
      </c>
      <c r="G105" s="62">
        <f>SUM(F100:F104)</f>
        <v>0</v>
      </c>
      <c r="H105" s="52"/>
    </row>
    <row r="106" spans="1:8" x14ac:dyDescent="0.25">
      <c r="A106" s="56"/>
      <c r="B106" s="57"/>
      <c r="C106" s="57"/>
      <c r="D106" s="58"/>
      <c r="E106" s="58"/>
      <c r="F106" s="59"/>
      <c r="G106" s="78" t="s">
        <v>210</v>
      </c>
      <c r="H106" s="92">
        <f>SUM(G105,G98,G94,G90,G86,G82,G77,G72,G67,G62,G56,G51,G43)</f>
        <v>0</v>
      </c>
    </row>
    <row r="107" spans="1:8" x14ac:dyDescent="0.25">
      <c r="A107" s="94"/>
      <c r="B107" s="95"/>
      <c r="C107" s="95"/>
      <c r="D107" s="95"/>
      <c r="E107" s="95"/>
      <c r="F107" s="96"/>
      <c r="G107" s="97" t="s">
        <v>193</v>
      </c>
      <c r="H107" s="98">
        <f>SUM(H106,H34)</f>
        <v>0</v>
      </c>
    </row>
  </sheetData>
  <mergeCells count="35">
    <mergeCell ref="A104:E104"/>
    <mergeCell ref="A95:G95"/>
    <mergeCell ref="A99:G99"/>
    <mergeCell ref="A100:E100"/>
    <mergeCell ref="A101:E101"/>
    <mergeCell ref="A102:E102"/>
    <mergeCell ref="A103:E103"/>
    <mergeCell ref="A78:G78"/>
    <mergeCell ref="G14:H16"/>
    <mergeCell ref="G23:H32"/>
    <mergeCell ref="K23:L23"/>
    <mergeCell ref="A25:E25"/>
    <mergeCell ref="A26:E26"/>
    <mergeCell ref="A27:E27"/>
    <mergeCell ref="A28:E28"/>
    <mergeCell ref="K28:K29"/>
    <mergeCell ref="L28:L29"/>
    <mergeCell ref="A29:E29"/>
    <mergeCell ref="A30:E30"/>
    <mergeCell ref="A31:E31"/>
    <mergeCell ref="A32:E32"/>
    <mergeCell ref="A36:G36"/>
    <mergeCell ref="A57:G57"/>
    <mergeCell ref="G9:H11"/>
    <mergeCell ref="A1:H1"/>
    <mergeCell ref="A2:H2"/>
    <mergeCell ref="A3:B3"/>
    <mergeCell ref="C3:E3"/>
    <mergeCell ref="A4:B4"/>
    <mergeCell ref="C4:E4"/>
    <mergeCell ref="A5:B5"/>
    <mergeCell ref="C5:E5"/>
    <mergeCell ref="A6:B6"/>
    <mergeCell ref="C6:E6"/>
    <mergeCell ref="C7:E7"/>
  </mergeCells>
  <printOptions horizontalCentered="1"/>
  <pageMargins left="0.35" right="0.28000000000000003" top="0.6" bottom="0.56999999999999995" header="0.5" footer="0.3"/>
  <pageSetup scale="48"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B24B-2369-4350-8740-A0A4ABB104D5}">
  <sheetPr>
    <tabColor theme="7" tint="0.59999389629810485"/>
    <pageSetUpPr fitToPage="1"/>
  </sheetPr>
  <dimension ref="A1:P37"/>
  <sheetViews>
    <sheetView showGridLines="0" zoomScale="89" zoomScaleNormal="89" workbookViewId="0">
      <selection activeCell="H9" sqref="H9"/>
    </sheetView>
  </sheetViews>
  <sheetFormatPr defaultColWidth="8.88671875" defaultRowHeight="13.2" x14ac:dyDescent="0.25"/>
  <cols>
    <col min="1" max="1" width="31.33203125" style="8" customWidth="1"/>
    <col min="2" max="2" width="26" style="217" customWidth="1"/>
    <col min="3" max="3" width="12.6640625" style="8" customWidth="1"/>
    <col min="4" max="4" width="10.6640625" style="8" customWidth="1"/>
    <col min="5" max="5" width="11.109375" style="8" customWidth="1"/>
    <col min="6" max="6" width="15.6640625" style="8" customWidth="1"/>
    <col min="7" max="14" width="13.33203125" style="8" customWidth="1"/>
    <col min="15" max="15" width="15" style="8" customWidth="1"/>
    <col min="16" max="16" width="34.33203125" style="8" bestFit="1" customWidth="1"/>
    <col min="17" max="16384" width="8.88671875" style="8"/>
  </cols>
  <sheetData>
    <row r="1" spans="1:16" ht="61.95" customHeight="1" x14ac:dyDescent="0.25">
      <c r="A1" s="503" t="s">
        <v>458</v>
      </c>
      <c r="B1" s="503"/>
      <c r="C1" s="503"/>
      <c r="D1" s="503"/>
      <c r="E1" s="503"/>
      <c r="F1" s="503"/>
      <c r="G1" s="503"/>
      <c r="H1" s="503"/>
      <c r="I1" s="503"/>
      <c r="J1" s="503"/>
      <c r="K1" s="503"/>
      <c r="L1" s="503"/>
      <c r="M1" s="503"/>
      <c r="N1" s="503"/>
      <c r="O1" s="503"/>
      <c r="P1" s="171"/>
    </row>
    <row r="2" spans="1:16" ht="60.6" customHeight="1" x14ac:dyDescent="0.25">
      <c r="A2" s="680" t="s">
        <v>275</v>
      </c>
      <c r="B2" s="680"/>
      <c r="C2" s="680"/>
      <c r="D2" s="680"/>
      <c r="E2" s="680"/>
      <c r="F2" s="680"/>
      <c r="G2" s="680"/>
      <c r="H2" s="680"/>
      <c r="I2" s="680"/>
      <c r="J2" s="680"/>
      <c r="K2" s="680"/>
      <c r="L2" s="680"/>
      <c r="M2" s="680"/>
      <c r="N2" s="680"/>
      <c r="O2" s="680"/>
      <c r="P2" s="171"/>
    </row>
    <row r="3" spans="1:16" s="179" customFormat="1" ht="19.95" customHeight="1" x14ac:dyDescent="0.25">
      <c r="A3" s="175" t="s">
        <v>482</v>
      </c>
      <c r="B3" s="176"/>
      <c r="C3" s="177"/>
      <c r="D3" s="177"/>
      <c r="E3" s="177"/>
      <c r="F3" s="177"/>
      <c r="G3" s="178"/>
      <c r="H3" s="178"/>
      <c r="I3" s="178"/>
      <c r="J3" s="178"/>
      <c r="K3" s="178"/>
      <c r="L3" s="178"/>
      <c r="M3" s="178"/>
      <c r="N3" s="178"/>
      <c r="O3" s="178"/>
      <c r="P3" s="178"/>
    </row>
    <row r="4" spans="1:16" ht="30.6" customHeight="1" x14ac:dyDescent="0.25">
      <c r="A4" s="617" t="s">
        <v>487</v>
      </c>
      <c r="B4" s="618"/>
      <c r="C4" s="618"/>
      <c r="D4" s="618"/>
      <c r="E4" s="618"/>
      <c r="F4" s="618"/>
      <c r="G4" s="618"/>
      <c r="H4" s="618"/>
      <c r="I4" s="618"/>
      <c r="J4" s="618"/>
      <c r="K4" s="618"/>
      <c r="L4" s="618"/>
      <c r="M4" s="618"/>
      <c r="N4" s="618"/>
      <c r="O4" s="619"/>
      <c r="P4" s="231"/>
    </row>
    <row r="5" spans="1:16" ht="26.4" x14ac:dyDescent="0.25">
      <c r="A5" s="194" t="s">
        <v>159</v>
      </c>
      <c r="B5" s="194" t="s">
        <v>175</v>
      </c>
      <c r="C5" s="194" t="s">
        <v>161</v>
      </c>
      <c r="D5" s="194" t="s">
        <v>181</v>
      </c>
      <c r="E5" s="194" t="s">
        <v>157</v>
      </c>
      <c r="F5" s="194" t="s">
        <v>160</v>
      </c>
      <c r="G5" s="194" t="s">
        <v>166</v>
      </c>
      <c r="H5" s="194" t="s">
        <v>162</v>
      </c>
      <c r="I5" s="194" t="s">
        <v>71</v>
      </c>
      <c r="J5" s="194" t="s">
        <v>163</v>
      </c>
      <c r="K5" s="194" t="s">
        <v>164</v>
      </c>
      <c r="L5" s="194" t="s">
        <v>72</v>
      </c>
      <c r="M5" s="194" t="s">
        <v>165</v>
      </c>
      <c r="N5" s="195" t="s">
        <v>245</v>
      </c>
      <c r="O5" s="194" t="s">
        <v>70</v>
      </c>
      <c r="P5" s="231"/>
    </row>
    <row r="6" spans="1:16" s="179" customFormat="1" ht="19.5" customHeight="1" x14ac:dyDescent="0.25">
      <c r="A6" s="232" t="s">
        <v>158</v>
      </c>
      <c r="B6" s="232" t="s">
        <v>158</v>
      </c>
      <c r="C6" s="233">
        <v>0</v>
      </c>
      <c r="D6" s="232"/>
      <c r="E6" s="232"/>
      <c r="F6" s="199">
        <f>C6*D6*E6</f>
        <v>0</v>
      </c>
      <c r="G6" s="200">
        <v>0</v>
      </c>
      <c r="H6" s="200">
        <v>0</v>
      </c>
      <c r="I6" s="200">
        <v>0</v>
      </c>
      <c r="J6" s="200">
        <v>0</v>
      </c>
      <c r="K6" s="200">
        <v>0</v>
      </c>
      <c r="L6" s="200">
        <v>0</v>
      </c>
      <c r="M6" s="200">
        <v>0</v>
      </c>
      <c r="N6" s="234">
        <v>0</v>
      </c>
      <c r="O6" s="202">
        <f t="shared" ref="O6:O25" si="0">SUM(G6:N6)</f>
        <v>0</v>
      </c>
      <c r="P6" s="235"/>
    </row>
    <row r="7" spans="1:16" s="179" customFormat="1" ht="19.5" customHeight="1" x14ac:dyDescent="0.25">
      <c r="A7" s="236" t="s">
        <v>158</v>
      </c>
      <c r="B7" s="236" t="s">
        <v>158</v>
      </c>
      <c r="C7" s="237">
        <v>0</v>
      </c>
      <c r="D7" s="236"/>
      <c r="E7" s="236"/>
      <c r="F7" s="203">
        <f t="shared" ref="F7:F25" si="1">C7*D7*E7</f>
        <v>0</v>
      </c>
      <c r="G7" s="201">
        <v>0</v>
      </c>
      <c r="H7" s="201">
        <v>0</v>
      </c>
      <c r="I7" s="201">
        <v>0</v>
      </c>
      <c r="J7" s="201">
        <v>0</v>
      </c>
      <c r="K7" s="201">
        <v>0</v>
      </c>
      <c r="L7" s="201">
        <v>0</v>
      </c>
      <c r="M7" s="201">
        <v>0</v>
      </c>
      <c r="N7" s="205">
        <v>0</v>
      </c>
      <c r="O7" s="204">
        <f t="shared" si="0"/>
        <v>0</v>
      </c>
      <c r="P7" s="235"/>
    </row>
    <row r="8" spans="1:16" s="179" customFormat="1" ht="19.5" customHeight="1" x14ac:dyDescent="0.25">
      <c r="A8" s="236" t="s">
        <v>158</v>
      </c>
      <c r="B8" s="236" t="s">
        <v>158</v>
      </c>
      <c r="C8" s="237">
        <v>0</v>
      </c>
      <c r="D8" s="236"/>
      <c r="E8" s="236"/>
      <c r="F8" s="203">
        <f t="shared" si="1"/>
        <v>0</v>
      </c>
      <c r="G8" s="201">
        <v>0</v>
      </c>
      <c r="H8" s="201">
        <v>0</v>
      </c>
      <c r="I8" s="201">
        <v>0</v>
      </c>
      <c r="J8" s="201">
        <v>0</v>
      </c>
      <c r="K8" s="201">
        <v>0</v>
      </c>
      <c r="L8" s="201">
        <v>0</v>
      </c>
      <c r="M8" s="201">
        <v>0</v>
      </c>
      <c r="N8" s="205">
        <v>0</v>
      </c>
      <c r="O8" s="204">
        <f t="shared" si="0"/>
        <v>0</v>
      </c>
      <c r="P8" s="235"/>
    </row>
    <row r="9" spans="1:16" s="179" customFormat="1" ht="19.5" customHeight="1" x14ac:dyDescent="0.25">
      <c r="A9" s="236" t="s">
        <v>158</v>
      </c>
      <c r="B9" s="236" t="s">
        <v>158</v>
      </c>
      <c r="C9" s="237">
        <v>0</v>
      </c>
      <c r="D9" s="236"/>
      <c r="E9" s="236"/>
      <c r="F9" s="203">
        <f t="shared" si="1"/>
        <v>0</v>
      </c>
      <c r="G9" s="201">
        <v>0</v>
      </c>
      <c r="H9" s="201">
        <v>0</v>
      </c>
      <c r="I9" s="201">
        <v>0</v>
      </c>
      <c r="J9" s="201">
        <v>0</v>
      </c>
      <c r="K9" s="201">
        <v>0</v>
      </c>
      <c r="L9" s="201">
        <v>0</v>
      </c>
      <c r="M9" s="201">
        <v>0</v>
      </c>
      <c r="N9" s="205">
        <v>0</v>
      </c>
      <c r="O9" s="204">
        <f t="shared" si="0"/>
        <v>0</v>
      </c>
      <c r="P9" s="235"/>
    </row>
    <row r="10" spans="1:16" s="179" customFormat="1" ht="19.5" customHeight="1" x14ac:dyDescent="0.25">
      <c r="A10" s="236" t="s">
        <v>158</v>
      </c>
      <c r="B10" s="236" t="s">
        <v>158</v>
      </c>
      <c r="C10" s="237">
        <v>0</v>
      </c>
      <c r="D10" s="236"/>
      <c r="E10" s="236"/>
      <c r="F10" s="203">
        <f t="shared" si="1"/>
        <v>0</v>
      </c>
      <c r="G10" s="201">
        <v>0</v>
      </c>
      <c r="H10" s="201">
        <v>0</v>
      </c>
      <c r="I10" s="201">
        <v>0</v>
      </c>
      <c r="J10" s="201">
        <v>0</v>
      </c>
      <c r="K10" s="201">
        <v>0</v>
      </c>
      <c r="L10" s="201">
        <v>0</v>
      </c>
      <c r="M10" s="201">
        <v>0</v>
      </c>
      <c r="N10" s="205">
        <v>0</v>
      </c>
      <c r="O10" s="204">
        <f t="shared" si="0"/>
        <v>0</v>
      </c>
      <c r="P10" s="235"/>
    </row>
    <row r="11" spans="1:16" s="179" customFormat="1" ht="19.5" customHeight="1" x14ac:dyDescent="0.25">
      <c r="A11" s="236" t="s">
        <v>158</v>
      </c>
      <c r="B11" s="236" t="s">
        <v>158</v>
      </c>
      <c r="C11" s="237">
        <v>0</v>
      </c>
      <c r="D11" s="236"/>
      <c r="E11" s="236"/>
      <c r="F11" s="203">
        <f t="shared" si="1"/>
        <v>0</v>
      </c>
      <c r="G11" s="201">
        <v>0</v>
      </c>
      <c r="H11" s="201">
        <v>0</v>
      </c>
      <c r="I11" s="201">
        <v>0</v>
      </c>
      <c r="J11" s="201">
        <v>0</v>
      </c>
      <c r="K11" s="201">
        <v>0</v>
      </c>
      <c r="L11" s="201">
        <v>0</v>
      </c>
      <c r="M11" s="201">
        <v>0</v>
      </c>
      <c r="N11" s="205">
        <v>0</v>
      </c>
      <c r="O11" s="204">
        <f t="shared" si="0"/>
        <v>0</v>
      </c>
      <c r="P11" s="235"/>
    </row>
    <row r="12" spans="1:16" s="179" customFormat="1" ht="19.5" customHeight="1" x14ac:dyDescent="0.25">
      <c r="A12" s="236" t="s">
        <v>158</v>
      </c>
      <c r="B12" s="236" t="s">
        <v>158</v>
      </c>
      <c r="C12" s="237">
        <v>0</v>
      </c>
      <c r="D12" s="236"/>
      <c r="E12" s="236"/>
      <c r="F12" s="203">
        <f t="shared" si="1"/>
        <v>0</v>
      </c>
      <c r="G12" s="201">
        <v>0</v>
      </c>
      <c r="H12" s="201">
        <v>0</v>
      </c>
      <c r="I12" s="201">
        <v>0</v>
      </c>
      <c r="J12" s="201">
        <v>0</v>
      </c>
      <c r="K12" s="201">
        <v>0</v>
      </c>
      <c r="L12" s="201">
        <v>0</v>
      </c>
      <c r="M12" s="201">
        <v>0</v>
      </c>
      <c r="N12" s="205">
        <v>0</v>
      </c>
      <c r="O12" s="204">
        <f t="shared" si="0"/>
        <v>0</v>
      </c>
      <c r="P12" s="235"/>
    </row>
    <row r="13" spans="1:16" s="179" customFormat="1" ht="19.5" customHeight="1" x14ac:dyDescent="0.25">
      <c r="A13" s="236" t="s">
        <v>158</v>
      </c>
      <c r="B13" s="236" t="s">
        <v>158</v>
      </c>
      <c r="C13" s="237">
        <v>0</v>
      </c>
      <c r="D13" s="236"/>
      <c r="E13" s="236"/>
      <c r="F13" s="203">
        <f t="shared" si="1"/>
        <v>0</v>
      </c>
      <c r="G13" s="201">
        <v>0</v>
      </c>
      <c r="H13" s="201">
        <v>0</v>
      </c>
      <c r="I13" s="201">
        <v>0</v>
      </c>
      <c r="J13" s="201">
        <v>0</v>
      </c>
      <c r="K13" s="201">
        <v>0</v>
      </c>
      <c r="L13" s="201">
        <v>0</v>
      </c>
      <c r="M13" s="201">
        <v>0</v>
      </c>
      <c r="N13" s="205">
        <v>0</v>
      </c>
      <c r="O13" s="204">
        <f t="shared" si="0"/>
        <v>0</v>
      </c>
      <c r="P13" s="235"/>
    </row>
    <row r="14" spans="1:16" s="179" customFormat="1" ht="19.5" customHeight="1" x14ac:dyDescent="0.25">
      <c r="A14" s="236" t="s">
        <v>158</v>
      </c>
      <c r="B14" s="236" t="s">
        <v>158</v>
      </c>
      <c r="C14" s="237">
        <v>0</v>
      </c>
      <c r="D14" s="236"/>
      <c r="E14" s="236"/>
      <c r="F14" s="203">
        <f t="shared" si="1"/>
        <v>0</v>
      </c>
      <c r="G14" s="201">
        <v>0</v>
      </c>
      <c r="H14" s="201">
        <v>0</v>
      </c>
      <c r="I14" s="201">
        <v>0</v>
      </c>
      <c r="J14" s="201">
        <v>0</v>
      </c>
      <c r="K14" s="201">
        <v>0</v>
      </c>
      <c r="L14" s="201">
        <v>0</v>
      </c>
      <c r="M14" s="201">
        <v>0</v>
      </c>
      <c r="N14" s="205">
        <v>0</v>
      </c>
      <c r="O14" s="204">
        <f t="shared" si="0"/>
        <v>0</v>
      </c>
      <c r="P14" s="235"/>
    </row>
    <row r="15" spans="1:16" s="179" customFormat="1" ht="19.5" customHeight="1" x14ac:dyDescent="0.25">
      <c r="A15" s="236" t="s">
        <v>158</v>
      </c>
      <c r="B15" s="236" t="s">
        <v>158</v>
      </c>
      <c r="C15" s="237">
        <v>0</v>
      </c>
      <c r="D15" s="236"/>
      <c r="E15" s="236"/>
      <c r="F15" s="203">
        <f t="shared" si="1"/>
        <v>0</v>
      </c>
      <c r="G15" s="201">
        <v>0</v>
      </c>
      <c r="H15" s="201">
        <v>0</v>
      </c>
      <c r="I15" s="201">
        <v>0</v>
      </c>
      <c r="J15" s="201">
        <v>0</v>
      </c>
      <c r="K15" s="201">
        <v>0</v>
      </c>
      <c r="L15" s="201">
        <v>0</v>
      </c>
      <c r="M15" s="201">
        <v>0</v>
      </c>
      <c r="N15" s="205">
        <v>0</v>
      </c>
      <c r="O15" s="204">
        <f t="shared" si="0"/>
        <v>0</v>
      </c>
      <c r="P15" s="235"/>
    </row>
    <row r="16" spans="1:16" s="179" customFormat="1" ht="19.5" customHeight="1" x14ac:dyDescent="0.25">
      <c r="A16" s="236" t="s">
        <v>158</v>
      </c>
      <c r="B16" s="236" t="s">
        <v>158</v>
      </c>
      <c r="C16" s="237">
        <v>0</v>
      </c>
      <c r="D16" s="236"/>
      <c r="E16" s="236"/>
      <c r="F16" s="203">
        <f t="shared" si="1"/>
        <v>0</v>
      </c>
      <c r="G16" s="201">
        <v>0</v>
      </c>
      <c r="H16" s="201">
        <v>0</v>
      </c>
      <c r="I16" s="201">
        <v>0</v>
      </c>
      <c r="J16" s="201">
        <v>0</v>
      </c>
      <c r="K16" s="201">
        <v>0</v>
      </c>
      <c r="L16" s="201">
        <v>0</v>
      </c>
      <c r="M16" s="201">
        <v>0</v>
      </c>
      <c r="N16" s="205">
        <v>0</v>
      </c>
      <c r="O16" s="204">
        <f t="shared" si="0"/>
        <v>0</v>
      </c>
      <c r="P16" s="235"/>
    </row>
    <row r="17" spans="1:16" s="179" customFormat="1" ht="19.5" customHeight="1" x14ac:dyDescent="0.25">
      <c r="A17" s="236" t="s">
        <v>158</v>
      </c>
      <c r="B17" s="236" t="s">
        <v>158</v>
      </c>
      <c r="C17" s="237">
        <v>0</v>
      </c>
      <c r="D17" s="236"/>
      <c r="E17" s="236"/>
      <c r="F17" s="203">
        <f t="shared" si="1"/>
        <v>0</v>
      </c>
      <c r="G17" s="201">
        <v>0</v>
      </c>
      <c r="H17" s="201">
        <v>0</v>
      </c>
      <c r="I17" s="201">
        <v>0</v>
      </c>
      <c r="J17" s="201">
        <v>0</v>
      </c>
      <c r="K17" s="201">
        <v>0</v>
      </c>
      <c r="L17" s="201">
        <v>0</v>
      </c>
      <c r="M17" s="201">
        <v>0</v>
      </c>
      <c r="N17" s="205">
        <v>0</v>
      </c>
      <c r="O17" s="204">
        <f t="shared" si="0"/>
        <v>0</v>
      </c>
      <c r="P17" s="235"/>
    </row>
    <row r="18" spans="1:16" s="179" customFormat="1" ht="19.5" customHeight="1" x14ac:dyDescent="0.25">
      <c r="A18" s="236" t="s">
        <v>158</v>
      </c>
      <c r="B18" s="236" t="s">
        <v>158</v>
      </c>
      <c r="C18" s="237">
        <v>0</v>
      </c>
      <c r="D18" s="236"/>
      <c r="E18" s="236"/>
      <c r="F18" s="203">
        <f t="shared" si="1"/>
        <v>0</v>
      </c>
      <c r="G18" s="201">
        <v>0</v>
      </c>
      <c r="H18" s="201">
        <v>0</v>
      </c>
      <c r="I18" s="201">
        <v>0</v>
      </c>
      <c r="J18" s="201">
        <v>0</v>
      </c>
      <c r="K18" s="201">
        <v>0</v>
      </c>
      <c r="L18" s="201">
        <v>0</v>
      </c>
      <c r="M18" s="201">
        <v>0</v>
      </c>
      <c r="N18" s="205">
        <v>0</v>
      </c>
      <c r="O18" s="204">
        <f t="shared" si="0"/>
        <v>0</v>
      </c>
      <c r="P18" s="235"/>
    </row>
    <row r="19" spans="1:16" s="179" customFormat="1" ht="19.5" customHeight="1" x14ac:dyDescent="0.25">
      <c r="A19" s="236" t="s">
        <v>158</v>
      </c>
      <c r="B19" s="236" t="s">
        <v>158</v>
      </c>
      <c r="C19" s="237">
        <v>0</v>
      </c>
      <c r="D19" s="236"/>
      <c r="E19" s="236"/>
      <c r="F19" s="203">
        <f t="shared" si="1"/>
        <v>0</v>
      </c>
      <c r="G19" s="201">
        <v>0</v>
      </c>
      <c r="H19" s="201">
        <v>0</v>
      </c>
      <c r="I19" s="201">
        <v>0</v>
      </c>
      <c r="J19" s="201">
        <v>0</v>
      </c>
      <c r="K19" s="201">
        <v>0</v>
      </c>
      <c r="L19" s="201">
        <v>0</v>
      </c>
      <c r="M19" s="201">
        <v>0</v>
      </c>
      <c r="N19" s="205">
        <v>0</v>
      </c>
      <c r="O19" s="204">
        <f t="shared" si="0"/>
        <v>0</v>
      </c>
      <c r="P19" s="235"/>
    </row>
    <row r="20" spans="1:16" s="179" customFormat="1" ht="19.5" customHeight="1" x14ac:dyDescent="0.25">
      <c r="A20" s="236" t="s">
        <v>158</v>
      </c>
      <c r="B20" s="236" t="s">
        <v>158</v>
      </c>
      <c r="C20" s="237">
        <v>0</v>
      </c>
      <c r="D20" s="236"/>
      <c r="E20" s="236"/>
      <c r="F20" s="203">
        <f t="shared" si="1"/>
        <v>0</v>
      </c>
      <c r="G20" s="201">
        <v>0</v>
      </c>
      <c r="H20" s="201">
        <v>0</v>
      </c>
      <c r="I20" s="201">
        <v>0</v>
      </c>
      <c r="J20" s="201">
        <v>0</v>
      </c>
      <c r="K20" s="201">
        <v>0</v>
      </c>
      <c r="L20" s="201">
        <v>0</v>
      </c>
      <c r="M20" s="201">
        <v>0</v>
      </c>
      <c r="N20" s="205">
        <v>0</v>
      </c>
      <c r="O20" s="204">
        <f t="shared" si="0"/>
        <v>0</v>
      </c>
      <c r="P20" s="235"/>
    </row>
    <row r="21" spans="1:16" s="179" customFormat="1" ht="19.5" customHeight="1" x14ac:dyDescent="0.25">
      <c r="A21" s="236" t="s">
        <v>158</v>
      </c>
      <c r="B21" s="236" t="s">
        <v>158</v>
      </c>
      <c r="C21" s="237">
        <v>0</v>
      </c>
      <c r="D21" s="236"/>
      <c r="E21" s="236"/>
      <c r="F21" s="203">
        <f t="shared" si="1"/>
        <v>0</v>
      </c>
      <c r="G21" s="201">
        <v>0</v>
      </c>
      <c r="H21" s="201">
        <v>0</v>
      </c>
      <c r="I21" s="201">
        <v>0</v>
      </c>
      <c r="J21" s="201">
        <v>0</v>
      </c>
      <c r="K21" s="201">
        <v>0</v>
      </c>
      <c r="L21" s="201">
        <v>0</v>
      </c>
      <c r="M21" s="201">
        <v>0</v>
      </c>
      <c r="N21" s="205">
        <v>0</v>
      </c>
      <c r="O21" s="204">
        <f t="shared" si="0"/>
        <v>0</v>
      </c>
      <c r="P21" s="235"/>
    </row>
    <row r="22" spans="1:16" s="179" customFormat="1" ht="19.5" customHeight="1" x14ac:dyDescent="0.25">
      <c r="A22" s="236" t="s">
        <v>158</v>
      </c>
      <c r="B22" s="236" t="s">
        <v>158</v>
      </c>
      <c r="C22" s="237">
        <v>0</v>
      </c>
      <c r="D22" s="236"/>
      <c r="E22" s="236"/>
      <c r="F22" s="203">
        <f t="shared" si="1"/>
        <v>0</v>
      </c>
      <c r="G22" s="201">
        <v>0</v>
      </c>
      <c r="H22" s="201">
        <v>0</v>
      </c>
      <c r="I22" s="201">
        <v>0</v>
      </c>
      <c r="J22" s="201">
        <v>0</v>
      </c>
      <c r="K22" s="201">
        <v>0</v>
      </c>
      <c r="L22" s="201">
        <v>0</v>
      </c>
      <c r="M22" s="201">
        <v>0</v>
      </c>
      <c r="N22" s="205">
        <v>0</v>
      </c>
      <c r="O22" s="204">
        <f t="shared" si="0"/>
        <v>0</v>
      </c>
      <c r="P22" s="235"/>
    </row>
    <row r="23" spans="1:16" s="179" customFormat="1" ht="19.5" customHeight="1" x14ac:dyDescent="0.25">
      <c r="A23" s="236" t="s">
        <v>158</v>
      </c>
      <c r="B23" s="236" t="s">
        <v>158</v>
      </c>
      <c r="C23" s="237">
        <v>0</v>
      </c>
      <c r="D23" s="236"/>
      <c r="E23" s="236"/>
      <c r="F23" s="203">
        <f t="shared" si="1"/>
        <v>0</v>
      </c>
      <c r="G23" s="201">
        <v>0</v>
      </c>
      <c r="H23" s="201">
        <v>0</v>
      </c>
      <c r="I23" s="201">
        <v>0</v>
      </c>
      <c r="J23" s="201">
        <v>0</v>
      </c>
      <c r="K23" s="201">
        <v>0</v>
      </c>
      <c r="L23" s="201">
        <v>0</v>
      </c>
      <c r="M23" s="201">
        <v>0</v>
      </c>
      <c r="N23" s="205">
        <v>0</v>
      </c>
      <c r="O23" s="204">
        <f t="shared" si="0"/>
        <v>0</v>
      </c>
      <c r="P23" s="235"/>
    </row>
    <row r="24" spans="1:16" s="179" customFormat="1" ht="19.5" customHeight="1" x14ac:dyDescent="0.25">
      <c r="A24" s="236" t="s">
        <v>158</v>
      </c>
      <c r="B24" s="236" t="s">
        <v>158</v>
      </c>
      <c r="C24" s="237">
        <v>0</v>
      </c>
      <c r="D24" s="236"/>
      <c r="E24" s="236"/>
      <c r="F24" s="203">
        <f t="shared" si="1"/>
        <v>0</v>
      </c>
      <c r="G24" s="201">
        <v>0</v>
      </c>
      <c r="H24" s="201">
        <v>0</v>
      </c>
      <c r="I24" s="201">
        <v>0</v>
      </c>
      <c r="J24" s="201">
        <v>0</v>
      </c>
      <c r="K24" s="201">
        <v>0</v>
      </c>
      <c r="L24" s="201">
        <v>0</v>
      </c>
      <c r="M24" s="201">
        <v>0</v>
      </c>
      <c r="N24" s="205">
        <v>0</v>
      </c>
      <c r="O24" s="204">
        <f t="shared" si="0"/>
        <v>0</v>
      </c>
      <c r="P24" s="235"/>
    </row>
    <row r="25" spans="1:16" s="179" customFormat="1" ht="19.5" customHeight="1" x14ac:dyDescent="0.25">
      <c r="A25" s="236" t="s">
        <v>158</v>
      </c>
      <c r="B25" s="236" t="s">
        <v>158</v>
      </c>
      <c r="C25" s="237">
        <v>0</v>
      </c>
      <c r="D25" s="236"/>
      <c r="E25" s="236"/>
      <c r="F25" s="174">
        <f t="shared" si="1"/>
        <v>0</v>
      </c>
      <c r="G25" s="201">
        <v>0</v>
      </c>
      <c r="H25" s="201">
        <v>0</v>
      </c>
      <c r="I25" s="201">
        <v>0</v>
      </c>
      <c r="J25" s="201">
        <v>0</v>
      </c>
      <c r="K25" s="201">
        <v>0</v>
      </c>
      <c r="L25" s="201">
        <v>0</v>
      </c>
      <c r="M25" s="201">
        <v>0</v>
      </c>
      <c r="N25" s="205">
        <v>0</v>
      </c>
      <c r="O25" s="204">
        <f t="shared" si="0"/>
        <v>0</v>
      </c>
      <c r="P25" s="235"/>
    </row>
    <row r="26" spans="1:16" s="179" customFormat="1" ht="19.5" customHeight="1" thickBot="1" x14ac:dyDescent="0.3">
      <c r="A26" s="206" t="s">
        <v>239</v>
      </c>
      <c r="B26" s="620" t="s">
        <v>481</v>
      </c>
      <c r="C26" s="621"/>
      <c r="D26" s="621"/>
      <c r="E26" s="622"/>
      <c r="F26" s="207">
        <v>0</v>
      </c>
      <c r="G26" s="238"/>
      <c r="H26" s="238"/>
      <c r="I26" s="238"/>
      <c r="J26" s="238"/>
      <c r="K26" s="238"/>
      <c r="L26" s="238"/>
      <c r="M26" s="238"/>
      <c r="N26" s="239"/>
      <c r="O26" s="240"/>
      <c r="P26" s="235"/>
    </row>
    <row r="27" spans="1:16" s="179" customFormat="1" ht="16.5" customHeight="1" thickTop="1" thickBot="1" x14ac:dyDescent="0.3">
      <c r="A27" s="679" t="s">
        <v>484</v>
      </c>
      <c r="B27" s="625"/>
      <c r="C27" s="625"/>
      <c r="D27" s="625"/>
      <c r="E27" s="626"/>
      <c r="F27" s="209">
        <f>SUM(F6:F26)</f>
        <v>0</v>
      </c>
      <c r="G27" s="210">
        <f>SUM(G6:G25)</f>
        <v>0</v>
      </c>
      <c r="H27" s="210">
        <f t="shared" ref="H27:O27" si="2">SUM(H6:H25)</f>
        <v>0</v>
      </c>
      <c r="I27" s="210">
        <f t="shared" si="2"/>
        <v>0</v>
      </c>
      <c r="J27" s="210">
        <f t="shared" si="2"/>
        <v>0</v>
      </c>
      <c r="K27" s="210">
        <f t="shared" si="2"/>
        <v>0</v>
      </c>
      <c r="L27" s="210">
        <f t="shared" si="2"/>
        <v>0</v>
      </c>
      <c r="M27" s="210">
        <f t="shared" si="2"/>
        <v>0</v>
      </c>
      <c r="N27" s="210">
        <f t="shared" si="2"/>
        <v>0</v>
      </c>
      <c r="O27" s="210">
        <f t="shared" si="2"/>
        <v>0</v>
      </c>
      <c r="P27" s="235"/>
    </row>
    <row r="28" spans="1:16" ht="37.200000000000003" customHeight="1" thickTop="1" x14ac:dyDescent="0.25">
      <c r="A28" s="639" t="s">
        <v>489</v>
      </c>
      <c r="B28" s="640"/>
      <c r="C28" s="640"/>
      <c r="D28" s="640"/>
      <c r="E28" s="640"/>
      <c r="F28" s="640"/>
      <c r="G28" s="640"/>
      <c r="H28" s="640"/>
      <c r="I28" s="640"/>
      <c r="J28" s="640"/>
      <c r="K28" s="640"/>
      <c r="L28" s="640"/>
      <c r="M28" s="640"/>
      <c r="N28" s="640"/>
      <c r="O28" s="641"/>
      <c r="P28" s="231"/>
    </row>
    <row r="29" spans="1:16" ht="26.4" x14ac:dyDescent="0.25">
      <c r="A29" s="211" t="s">
        <v>159</v>
      </c>
      <c r="B29" s="211" t="s">
        <v>175</v>
      </c>
      <c r="C29" s="211" t="s">
        <v>161</v>
      </c>
      <c r="D29" s="211" t="s">
        <v>181</v>
      </c>
      <c r="E29" s="211" t="s">
        <v>157</v>
      </c>
      <c r="F29" s="211" t="s">
        <v>160</v>
      </c>
      <c r="G29" s="211" t="s">
        <v>166</v>
      </c>
      <c r="H29" s="211" t="s">
        <v>162</v>
      </c>
      <c r="I29" s="211" t="s">
        <v>71</v>
      </c>
      <c r="J29" s="211" t="s">
        <v>163</v>
      </c>
      <c r="K29" s="211" t="s">
        <v>164</v>
      </c>
      <c r="L29" s="211" t="s">
        <v>72</v>
      </c>
      <c r="M29" s="211" t="s">
        <v>165</v>
      </c>
      <c r="N29" s="241" t="s">
        <v>245</v>
      </c>
      <c r="O29" s="211" t="s">
        <v>70</v>
      </c>
      <c r="P29" s="231"/>
    </row>
    <row r="30" spans="1:16" s="179" customFormat="1" ht="19.5" customHeight="1" x14ac:dyDescent="0.25">
      <c r="A30" s="212"/>
      <c r="B30" s="212"/>
      <c r="C30" s="242">
        <v>0</v>
      </c>
      <c r="D30" s="212"/>
      <c r="E30" s="212"/>
      <c r="F30" s="243">
        <f t="shared" ref="F30:F35" si="3">C30*D30*E30</f>
        <v>0</v>
      </c>
      <c r="G30" s="244">
        <v>0</v>
      </c>
      <c r="H30" s="244">
        <v>0</v>
      </c>
      <c r="I30" s="244">
        <v>0</v>
      </c>
      <c r="J30" s="244">
        <v>0</v>
      </c>
      <c r="K30" s="244">
        <v>0</v>
      </c>
      <c r="L30" s="244">
        <v>0</v>
      </c>
      <c r="M30" s="244">
        <v>0</v>
      </c>
      <c r="N30" s="245">
        <v>0</v>
      </c>
      <c r="O30" s="246">
        <f>SUM(G30:N30)</f>
        <v>0</v>
      </c>
      <c r="P30" s="235"/>
    </row>
    <row r="31" spans="1:16" s="179" customFormat="1" ht="19.5" customHeight="1" x14ac:dyDescent="0.25">
      <c r="A31" s="212"/>
      <c r="B31" s="212" t="s">
        <v>158</v>
      </c>
      <c r="C31" s="242">
        <v>0</v>
      </c>
      <c r="D31" s="212"/>
      <c r="E31" s="212"/>
      <c r="F31" s="243">
        <f t="shared" ref="F31:F32" si="4">C31*D31*E31</f>
        <v>0</v>
      </c>
      <c r="G31" s="244">
        <v>0</v>
      </c>
      <c r="H31" s="244">
        <v>0</v>
      </c>
      <c r="I31" s="244">
        <v>0</v>
      </c>
      <c r="J31" s="244">
        <v>0</v>
      </c>
      <c r="K31" s="244">
        <v>0</v>
      </c>
      <c r="L31" s="244">
        <v>0</v>
      </c>
      <c r="M31" s="244">
        <v>0</v>
      </c>
      <c r="N31" s="245">
        <v>0</v>
      </c>
      <c r="O31" s="246">
        <f>SUM(G31:N31)</f>
        <v>0</v>
      </c>
      <c r="P31" s="235"/>
    </row>
    <row r="32" spans="1:16" s="179" customFormat="1" ht="19.5" customHeight="1" x14ac:dyDescent="0.25">
      <c r="A32" s="213"/>
      <c r="B32" s="213" t="s">
        <v>158</v>
      </c>
      <c r="C32" s="247">
        <v>0</v>
      </c>
      <c r="D32" s="213"/>
      <c r="E32" s="213"/>
      <c r="F32" s="248">
        <f t="shared" si="4"/>
        <v>0</v>
      </c>
      <c r="G32" s="249">
        <v>0</v>
      </c>
      <c r="H32" s="249">
        <v>0</v>
      </c>
      <c r="I32" s="249">
        <v>0</v>
      </c>
      <c r="J32" s="249">
        <v>0</v>
      </c>
      <c r="K32" s="249">
        <v>0</v>
      </c>
      <c r="L32" s="249">
        <v>0</v>
      </c>
      <c r="M32" s="249">
        <v>0</v>
      </c>
      <c r="N32" s="250">
        <v>0</v>
      </c>
      <c r="O32" s="251">
        <f>SUM(G32:N32)</f>
        <v>0</v>
      </c>
      <c r="P32" s="235"/>
    </row>
    <row r="33" spans="1:16" s="179" customFormat="1" ht="19.5" customHeight="1" x14ac:dyDescent="0.25">
      <c r="A33" s="212"/>
      <c r="B33" s="212" t="s">
        <v>158</v>
      </c>
      <c r="C33" s="242">
        <v>0</v>
      </c>
      <c r="D33" s="212"/>
      <c r="E33" s="212"/>
      <c r="F33" s="243">
        <f t="shared" si="3"/>
        <v>0</v>
      </c>
      <c r="G33" s="244">
        <v>0</v>
      </c>
      <c r="H33" s="244">
        <v>0</v>
      </c>
      <c r="I33" s="244">
        <v>0</v>
      </c>
      <c r="J33" s="244">
        <v>0</v>
      </c>
      <c r="K33" s="244">
        <v>0</v>
      </c>
      <c r="L33" s="244">
        <v>0</v>
      </c>
      <c r="M33" s="244">
        <v>0</v>
      </c>
      <c r="N33" s="245">
        <v>0</v>
      </c>
      <c r="O33" s="246">
        <f>SUM(G33:N33)</f>
        <v>0</v>
      </c>
      <c r="P33" s="235"/>
    </row>
    <row r="34" spans="1:16" s="179" customFormat="1" ht="19.5" customHeight="1" x14ac:dyDescent="0.25">
      <c r="A34" s="213"/>
      <c r="B34" s="213" t="s">
        <v>158</v>
      </c>
      <c r="C34" s="247">
        <v>0</v>
      </c>
      <c r="D34" s="213"/>
      <c r="E34" s="213"/>
      <c r="F34" s="248">
        <f t="shared" si="3"/>
        <v>0</v>
      </c>
      <c r="G34" s="249">
        <v>0</v>
      </c>
      <c r="H34" s="249">
        <v>0</v>
      </c>
      <c r="I34" s="249">
        <v>0</v>
      </c>
      <c r="J34" s="249">
        <v>0</v>
      </c>
      <c r="K34" s="249">
        <v>0</v>
      </c>
      <c r="L34" s="249">
        <v>0</v>
      </c>
      <c r="M34" s="249">
        <v>0</v>
      </c>
      <c r="N34" s="250">
        <v>0</v>
      </c>
      <c r="O34" s="251">
        <f>SUM(G34:N34)</f>
        <v>0</v>
      </c>
      <c r="P34" s="235"/>
    </row>
    <row r="35" spans="1:16" s="179" customFormat="1" ht="19.5" customHeight="1" thickBot="1" x14ac:dyDescent="0.3">
      <c r="A35" s="212"/>
      <c r="B35" s="212" t="s">
        <v>158</v>
      </c>
      <c r="C35" s="242">
        <v>0</v>
      </c>
      <c r="D35" s="212"/>
      <c r="E35" s="212"/>
      <c r="F35" s="243">
        <f t="shared" si="3"/>
        <v>0</v>
      </c>
      <c r="G35" s="244">
        <v>0</v>
      </c>
      <c r="H35" s="244">
        <v>0</v>
      </c>
      <c r="I35" s="244">
        <v>0</v>
      </c>
      <c r="J35" s="244">
        <v>0</v>
      </c>
      <c r="K35" s="244">
        <v>0</v>
      </c>
      <c r="L35" s="244">
        <v>0</v>
      </c>
      <c r="M35" s="244">
        <v>0</v>
      </c>
      <c r="N35" s="245">
        <v>0</v>
      </c>
      <c r="O35" s="246">
        <f t="shared" ref="O35" si="5">SUM(G35:N35)</f>
        <v>0</v>
      </c>
      <c r="P35" s="235"/>
    </row>
    <row r="36" spans="1:16" s="179" customFormat="1" ht="16.5" customHeight="1" thickTop="1" thickBot="1" x14ac:dyDescent="0.3">
      <c r="A36" s="678" t="s">
        <v>485</v>
      </c>
      <c r="B36" s="623"/>
      <c r="C36" s="623"/>
      <c r="D36" s="623"/>
      <c r="E36" s="624"/>
      <c r="F36" s="215">
        <f t="shared" ref="F36:N36" si="6">SUM(F30:F35)</f>
        <v>0</v>
      </c>
      <c r="G36" s="215">
        <f t="shared" si="6"/>
        <v>0</v>
      </c>
      <c r="H36" s="215">
        <f t="shared" si="6"/>
        <v>0</v>
      </c>
      <c r="I36" s="215">
        <f t="shared" si="6"/>
        <v>0</v>
      </c>
      <c r="J36" s="215">
        <f t="shared" si="6"/>
        <v>0</v>
      </c>
      <c r="K36" s="215">
        <f t="shared" si="6"/>
        <v>0</v>
      </c>
      <c r="L36" s="215">
        <f t="shared" si="6"/>
        <v>0</v>
      </c>
      <c r="M36" s="215">
        <f t="shared" si="6"/>
        <v>0</v>
      </c>
      <c r="N36" s="215">
        <f t="shared" si="6"/>
        <v>0</v>
      </c>
      <c r="O36" s="215">
        <f>SUM(O30:O35)</f>
        <v>0</v>
      </c>
      <c r="P36" s="252"/>
    </row>
    <row r="37" spans="1:16" ht="13.8" thickTop="1" x14ac:dyDescent="0.25"/>
  </sheetData>
  <mergeCells count="7">
    <mergeCell ref="A36:E36"/>
    <mergeCell ref="A27:E27"/>
    <mergeCell ref="A1:O1"/>
    <mergeCell ref="A4:O4"/>
    <mergeCell ref="B26:E26"/>
    <mergeCell ref="A28:O28"/>
    <mergeCell ref="A2:O2"/>
  </mergeCells>
  <printOptions horizontalCentered="1"/>
  <pageMargins left="0.7" right="0.7" top="0.75" bottom="0.75" header="0.3" footer="0.3"/>
  <pageSetup scale="54" orientation="landscape"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D8BEE-4FCE-4074-8811-C76DC0FA3562}">
  <sheetPr>
    <tabColor theme="0"/>
    <pageSetUpPr fitToPage="1"/>
  </sheetPr>
  <dimension ref="A1:K35"/>
  <sheetViews>
    <sheetView showGridLines="0" tabSelected="1" topLeftCell="A3" zoomScaleNormal="100" workbookViewId="0">
      <selection activeCell="B9" sqref="B9"/>
    </sheetView>
  </sheetViews>
  <sheetFormatPr defaultColWidth="8.6640625" defaultRowHeight="13.2" x14ac:dyDescent="0.25"/>
  <cols>
    <col min="1" max="1" width="29.109375" style="8" customWidth="1"/>
    <col min="2" max="2" width="16.6640625" style="8" customWidth="1"/>
    <col min="3" max="3" width="25.44140625" style="9" customWidth="1"/>
    <col min="4" max="4" width="10.6640625" style="8" customWidth="1"/>
    <col min="5" max="5" width="18" style="8" customWidth="1"/>
    <col min="6" max="6" width="26.109375" style="8" customWidth="1"/>
    <col min="7" max="7" width="17.88671875" style="8" customWidth="1"/>
    <col min="8" max="8" width="3.44140625" style="8" customWidth="1"/>
    <col min="9" max="9" width="17.88671875" style="8" customWidth="1"/>
    <col min="10" max="10" width="3.44140625" style="8" customWidth="1"/>
    <col min="11" max="11" width="17.88671875" style="8" customWidth="1"/>
    <col min="12" max="16384" width="8.6640625" style="8"/>
  </cols>
  <sheetData>
    <row r="1" spans="1:5" ht="55.2" customHeight="1" x14ac:dyDescent="0.25">
      <c r="A1" s="503" t="s">
        <v>231</v>
      </c>
      <c r="B1" s="503"/>
      <c r="C1" s="503"/>
      <c r="D1" s="503"/>
      <c r="E1" s="503"/>
    </row>
    <row r="2" spans="1:5" ht="19.2" customHeight="1" x14ac:dyDescent="0.25">
      <c r="A2" s="171"/>
      <c r="B2" s="171"/>
      <c r="C2" s="171"/>
      <c r="D2" s="171"/>
      <c r="E2" s="171"/>
    </row>
    <row r="3" spans="1:5" ht="33" customHeight="1" x14ac:dyDescent="0.25">
      <c r="A3" s="308" t="s">
        <v>180</v>
      </c>
      <c r="B3" s="683"/>
      <c r="C3" s="683"/>
      <c r="D3" s="683"/>
      <c r="E3" s="683"/>
    </row>
    <row r="4" spans="1:5" ht="22.95" customHeight="1" x14ac:dyDescent="0.25">
      <c r="A4" s="217"/>
      <c r="B4" s="684" t="s">
        <v>127</v>
      </c>
      <c r="C4" s="684"/>
      <c r="D4" s="684"/>
      <c r="E4" s="684"/>
    </row>
    <row r="5" spans="1:5" ht="33" customHeight="1" x14ac:dyDescent="0.25">
      <c r="A5" s="308" t="s">
        <v>192</v>
      </c>
      <c r="B5" s="685"/>
      <c r="C5" s="685"/>
      <c r="D5" s="685"/>
      <c r="E5" s="685"/>
    </row>
    <row r="6" spans="1:5" ht="22.95" customHeight="1" x14ac:dyDescent="0.25">
      <c r="B6" s="684" t="s">
        <v>375</v>
      </c>
      <c r="C6" s="684"/>
      <c r="D6" s="684"/>
      <c r="E6" s="684"/>
    </row>
    <row r="7" spans="1:5" ht="31.2" customHeight="1" x14ac:dyDescent="0.25">
      <c r="A7" s="681" t="s">
        <v>199</v>
      </c>
      <c r="B7" s="681"/>
      <c r="C7" s="140">
        <f>SUM('12-Projected Revenue'!L35)</f>
        <v>0</v>
      </c>
      <c r="D7" s="682" t="s">
        <v>201</v>
      </c>
      <c r="E7" s="682"/>
    </row>
    <row r="8" spans="1:5" ht="16.95" customHeight="1" x14ac:dyDescent="0.25">
      <c r="A8" s="309"/>
      <c r="B8" s="309"/>
      <c r="C8" s="311"/>
      <c r="D8" s="310"/>
      <c r="E8" s="310"/>
    </row>
    <row r="9" spans="1:5" ht="31.2" customHeight="1" x14ac:dyDescent="0.25">
      <c r="A9" s="312" t="s">
        <v>516</v>
      </c>
      <c r="B9" s="313" t="s">
        <v>517</v>
      </c>
      <c r="C9" s="314" t="s">
        <v>518</v>
      </c>
      <c r="D9" s="310"/>
      <c r="E9" s="298"/>
    </row>
    <row r="10" spans="1:5" ht="16.95" customHeight="1" thickBot="1" x14ac:dyDescent="0.3">
      <c r="A10" s="309"/>
      <c r="B10" s="309"/>
      <c r="C10" s="311"/>
      <c r="D10" s="310"/>
      <c r="E10" s="310"/>
    </row>
    <row r="11" spans="1:5" ht="33" customHeight="1" thickBot="1" x14ac:dyDescent="0.3">
      <c r="A11" s="315" t="s">
        <v>288</v>
      </c>
      <c r="B11" s="299" t="s">
        <v>289</v>
      </c>
      <c r="C11" s="692" t="s">
        <v>290</v>
      </c>
      <c r="D11" s="693"/>
      <c r="E11" s="316"/>
    </row>
    <row r="12" spans="1:5" ht="73.2" customHeight="1" x14ac:dyDescent="0.25">
      <c r="A12" s="694" t="s">
        <v>465</v>
      </c>
      <c r="B12" s="695"/>
      <c r="C12" s="696"/>
      <c r="D12" s="317" t="s">
        <v>212</v>
      </c>
      <c r="E12" s="318" t="s">
        <v>271</v>
      </c>
    </row>
    <row r="13" spans="1:5" ht="28.95" customHeight="1" x14ac:dyDescent="0.25">
      <c r="A13" s="686" t="s">
        <v>250</v>
      </c>
      <c r="B13" s="687"/>
      <c r="C13" s="688"/>
      <c r="D13" s="196" t="s">
        <v>228</v>
      </c>
      <c r="E13" s="467"/>
    </row>
    <row r="14" spans="1:5" ht="28.95" customHeight="1" x14ac:dyDescent="0.25">
      <c r="A14" s="686" t="s">
        <v>261</v>
      </c>
      <c r="B14" s="687"/>
      <c r="C14" s="688"/>
      <c r="D14" s="196" t="s">
        <v>228</v>
      </c>
      <c r="E14" s="467"/>
    </row>
    <row r="15" spans="1:5" ht="28.95" customHeight="1" x14ac:dyDescent="0.25">
      <c r="A15" s="686" t="s">
        <v>248</v>
      </c>
      <c r="B15" s="687"/>
      <c r="C15" s="688"/>
      <c r="D15" s="196"/>
      <c r="E15" s="467"/>
    </row>
    <row r="16" spans="1:5" ht="28.95" customHeight="1" x14ac:dyDescent="0.25">
      <c r="A16" s="686" t="s">
        <v>249</v>
      </c>
      <c r="B16" s="687"/>
      <c r="C16" s="688"/>
      <c r="D16" s="196"/>
      <c r="E16" s="467"/>
    </row>
    <row r="17" spans="1:11" ht="28.95" customHeight="1" x14ac:dyDescent="0.25">
      <c r="A17" s="689" t="s">
        <v>463</v>
      </c>
      <c r="B17" s="690"/>
      <c r="C17" s="691"/>
      <c r="D17" s="196"/>
      <c r="E17" s="467"/>
    </row>
    <row r="18" spans="1:11" ht="28.95" customHeight="1" x14ac:dyDescent="0.25">
      <c r="A18" s="686" t="s">
        <v>461</v>
      </c>
      <c r="B18" s="687"/>
      <c r="C18" s="688"/>
      <c r="D18" s="196"/>
      <c r="E18" s="467"/>
      <c r="G18" s="710" t="s">
        <v>467</v>
      </c>
      <c r="H18" s="710"/>
      <c r="I18" s="710"/>
      <c r="J18" s="710"/>
      <c r="K18" s="710"/>
    </row>
    <row r="19" spans="1:11" ht="28.95" customHeight="1" x14ac:dyDescent="0.25">
      <c r="A19" s="471" t="s">
        <v>464</v>
      </c>
      <c r="B19" s="472"/>
      <c r="C19" s="473"/>
      <c r="D19" s="196"/>
      <c r="E19" s="467"/>
      <c r="G19" s="710"/>
      <c r="H19" s="710"/>
      <c r="I19" s="710"/>
      <c r="J19" s="710"/>
      <c r="K19" s="710"/>
    </row>
    <row r="20" spans="1:11" ht="28.95" customHeight="1" thickBot="1" x14ac:dyDescent="0.3">
      <c r="A20" s="471" t="s">
        <v>466</v>
      </c>
      <c r="B20" s="472"/>
      <c r="C20" s="473"/>
      <c r="D20" s="196"/>
      <c r="E20" s="467"/>
      <c r="G20" s="711"/>
      <c r="H20" s="711"/>
      <c r="I20" s="711"/>
      <c r="J20" s="711"/>
      <c r="K20" s="711"/>
    </row>
    <row r="21" spans="1:11" ht="28.95" customHeight="1" x14ac:dyDescent="0.25">
      <c r="A21" s="686" t="s">
        <v>194</v>
      </c>
      <c r="B21" s="687"/>
      <c r="C21" s="688"/>
      <c r="D21" s="196"/>
      <c r="E21" s="467"/>
      <c r="G21" s="712" t="s">
        <v>468</v>
      </c>
      <c r="H21" s="713"/>
      <c r="I21" s="714"/>
      <c r="J21" s="715"/>
      <c r="K21" s="716"/>
    </row>
    <row r="22" spans="1:11" ht="28.95" customHeight="1" x14ac:dyDescent="0.25">
      <c r="A22" s="686" t="s">
        <v>196</v>
      </c>
      <c r="B22" s="687"/>
      <c r="C22" s="688"/>
      <c r="D22" s="196"/>
      <c r="E22" s="467"/>
      <c r="G22" s="717"/>
      <c r="H22" s="718"/>
      <c r="I22" s="719"/>
      <c r="J22" s="720"/>
      <c r="K22" s="721"/>
    </row>
    <row r="23" spans="1:11" ht="28.95" customHeight="1" x14ac:dyDescent="0.25">
      <c r="A23" s="686" t="s">
        <v>197</v>
      </c>
      <c r="B23" s="687"/>
      <c r="C23" s="688"/>
      <c r="D23" s="196"/>
      <c r="E23" s="467"/>
      <c r="G23" s="723" t="s">
        <v>293</v>
      </c>
      <c r="H23" s="724"/>
      <c r="I23" s="725"/>
      <c r="J23" s="728" t="s">
        <v>292</v>
      </c>
      <c r="K23" s="726" t="s">
        <v>294</v>
      </c>
    </row>
    <row r="24" spans="1:11" ht="28.95" customHeight="1" thickBot="1" x14ac:dyDescent="0.3">
      <c r="A24" s="686" t="s">
        <v>198</v>
      </c>
      <c r="B24" s="687"/>
      <c r="C24" s="688"/>
      <c r="D24" s="196"/>
      <c r="E24" s="467"/>
      <c r="G24" s="334" t="s">
        <v>295</v>
      </c>
      <c r="H24" s="331" t="s">
        <v>292</v>
      </c>
      <c r="I24" s="335" t="s">
        <v>296</v>
      </c>
      <c r="J24" s="729"/>
      <c r="K24" s="727"/>
    </row>
    <row r="25" spans="1:11" ht="28.95" customHeight="1" x14ac:dyDescent="0.25">
      <c r="A25" s="686" t="s">
        <v>291</v>
      </c>
      <c r="B25" s="687"/>
      <c r="C25" s="688"/>
      <c r="D25" s="196" t="s">
        <v>228</v>
      </c>
      <c r="E25" s="467"/>
      <c r="F25" s="319" t="s">
        <v>291</v>
      </c>
      <c r="G25" s="300"/>
      <c r="H25" s="332" t="s">
        <v>292</v>
      </c>
      <c r="I25" s="301"/>
      <c r="J25" s="332" t="s">
        <v>292</v>
      </c>
      <c r="K25" s="304"/>
    </row>
    <row r="26" spans="1:11" ht="28.95" customHeight="1" thickBot="1" x14ac:dyDescent="0.3">
      <c r="A26" s="686" t="s">
        <v>195</v>
      </c>
      <c r="B26" s="687"/>
      <c r="C26" s="688"/>
      <c r="D26" s="196" t="s">
        <v>228</v>
      </c>
      <c r="E26" s="467"/>
      <c r="F26" s="320" t="s">
        <v>195</v>
      </c>
      <c r="G26" s="305"/>
      <c r="H26" s="333" t="s">
        <v>292</v>
      </c>
      <c r="I26" s="306"/>
      <c r="J26" s="333" t="s">
        <v>292</v>
      </c>
      <c r="K26" s="307"/>
    </row>
    <row r="27" spans="1:11" ht="25.95" customHeight="1" thickBot="1" x14ac:dyDescent="0.3">
      <c r="A27" s="698" t="s">
        <v>203</v>
      </c>
      <c r="B27" s="699"/>
      <c r="C27" s="699"/>
      <c r="D27" s="700"/>
      <c r="E27" s="468">
        <f>SUM(E13:E26)</f>
        <v>0</v>
      </c>
    </row>
    <row r="28" spans="1:11" ht="30" customHeight="1" thickTop="1" thickBot="1" x14ac:dyDescent="0.3">
      <c r="A28" s="701" t="s">
        <v>204</v>
      </c>
      <c r="B28" s="702"/>
      <c r="C28" s="702"/>
      <c r="D28" s="703"/>
      <c r="E28" s="321" t="e">
        <f>E27/C7</f>
        <v>#DIV/0!</v>
      </c>
    </row>
    <row r="29" spans="1:11" ht="25.95" customHeight="1" thickTop="1" x14ac:dyDescent="0.25">
      <c r="A29" s="704" t="s">
        <v>200</v>
      </c>
      <c r="B29" s="705"/>
      <c r="C29" s="705"/>
      <c r="D29" s="706"/>
      <c r="E29" s="322"/>
    </row>
    <row r="30" spans="1:11" ht="25.95" customHeight="1" thickBot="1" x14ac:dyDescent="0.3">
      <c r="A30" s="707" t="s">
        <v>202</v>
      </c>
      <c r="B30" s="708"/>
      <c r="C30" s="708"/>
      <c r="D30" s="709"/>
      <c r="E30" s="323">
        <f>SUM(E27,E29)</f>
        <v>0</v>
      </c>
    </row>
    <row r="31" spans="1:11" ht="59.7" customHeight="1" x14ac:dyDescent="0.25">
      <c r="A31" s="543" t="s">
        <v>124</v>
      </c>
      <c r="B31" s="543"/>
      <c r="C31" s="543"/>
      <c r="D31" s="543"/>
      <c r="E31" s="543"/>
    </row>
    <row r="32" spans="1:11" ht="39" customHeight="1" x14ac:dyDescent="0.25">
      <c r="A32" s="722"/>
      <c r="B32" s="722"/>
      <c r="C32" s="722"/>
      <c r="D32" s="309"/>
      <c r="E32" s="12"/>
    </row>
    <row r="33" spans="1:5" x14ac:dyDescent="0.25">
      <c r="A33" s="697" t="s">
        <v>276</v>
      </c>
      <c r="B33" s="697"/>
      <c r="C33" s="697"/>
      <c r="D33" s="324"/>
      <c r="E33" s="324" t="s">
        <v>277</v>
      </c>
    </row>
    <row r="35" spans="1:5" x14ac:dyDescent="0.25">
      <c r="A35" s="543" t="s">
        <v>125</v>
      </c>
      <c r="B35" s="543"/>
      <c r="C35" s="543"/>
      <c r="D35" s="543"/>
      <c r="E35" s="543"/>
    </row>
  </sheetData>
  <mergeCells count="34">
    <mergeCell ref="G18:K20"/>
    <mergeCell ref="G21:K22"/>
    <mergeCell ref="A31:E31"/>
    <mergeCell ref="A24:C24"/>
    <mergeCell ref="A32:C32"/>
    <mergeCell ref="A21:C21"/>
    <mergeCell ref="A22:C22"/>
    <mergeCell ref="A23:C23"/>
    <mergeCell ref="G23:I23"/>
    <mergeCell ref="K23:K24"/>
    <mergeCell ref="J23:J24"/>
    <mergeCell ref="A33:C33"/>
    <mergeCell ref="A35:E35"/>
    <mergeCell ref="A25:C25"/>
    <mergeCell ref="A26:C26"/>
    <mergeCell ref="A27:D27"/>
    <mergeCell ref="A28:D28"/>
    <mergeCell ref="A29:D29"/>
    <mergeCell ref="A30:D30"/>
    <mergeCell ref="A16:C16"/>
    <mergeCell ref="A17:C17"/>
    <mergeCell ref="A18:C18"/>
    <mergeCell ref="C11:D11"/>
    <mergeCell ref="A12:C12"/>
    <mergeCell ref="A13:C13"/>
    <mergeCell ref="A14:C14"/>
    <mergeCell ref="A15:C15"/>
    <mergeCell ref="A7:B7"/>
    <mergeCell ref="D7:E7"/>
    <mergeCell ref="A1:E1"/>
    <mergeCell ref="B3:E3"/>
    <mergeCell ref="B4:E4"/>
    <mergeCell ref="B5:E5"/>
    <mergeCell ref="B6:E6"/>
  </mergeCells>
  <printOptions horizontalCentered="1"/>
  <pageMargins left="0.5" right="0.5" top="0.5" bottom="0.5" header="0.5" footer="0.5"/>
  <pageSetup scale="56"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0B5B2-B5E2-44B7-A90C-DF3754FC0D71}">
  <sheetPr codeName="Sheet19">
    <tabColor theme="0"/>
    <pageSetUpPr fitToPage="1"/>
  </sheetPr>
  <dimension ref="A1:K32"/>
  <sheetViews>
    <sheetView showGridLines="0" zoomScaleNormal="100" workbookViewId="0">
      <selection activeCell="C8" sqref="C8"/>
    </sheetView>
  </sheetViews>
  <sheetFormatPr defaultRowHeight="13.2" x14ac:dyDescent="0.25"/>
  <cols>
    <col min="1" max="1" width="30.33203125" customWidth="1"/>
    <col min="2" max="2" width="16.6640625" customWidth="1"/>
    <col min="3" max="3" width="21.6640625" style="4" customWidth="1"/>
    <col min="4" max="4" width="10.6640625" customWidth="1"/>
    <col min="5" max="5" width="18" customWidth="1"/>
    <col min="6" max="6" width="25.44140625" customWidth="1"/>
    <col min="7" max="7" width="17.6640625" customWidth="1"/>
    <col min="8" max="8" width="3.5546875" customWidth="1"/>
    <col min="9" max="9" width="17.6640625" customWidth="1"/>
    <col min="10" max="10" width="3.5546875" customWidth="1"/>
    <col min="11" max="11" width="19" customWidth="1"/>
  </cols>
  <sheetData>
    <row r="1" spans="1:11" ht="55.2" customHeight="1" x14ac:dyDescent="0.25">
      <c r="A1" s="596" t="s">
        <v>232</v>
      </c>
      <c r="B1" s="596"/>
      <c r="C1" s="596"/>
      <c r="D1" s="596"/>
      <c r="E1" s="596"/>
    </row>
    <row r="2" spans="1:11" ht="19.2" customHeight="1" x14ac:dyDescent="0.25">
      <c r="A2" s="117"/>
      <c r="B2" s="117"/>
      <c r="C2" s="117"/>
      <c r="D2" s="117"/>
      <c r="E2" s="117"/>
    </row>
    <row r="3" spans="1:11" ht="33" customHeight="1" x14ac:dyDescent="0.25">
      <c r="A3" s="125" t="s">
        <v>180</v>
      </c>
      <c r="B3" s="746"/>
      <c r="C3" s="746"/>
      <c r="D3" s="746"/>
      <c r="E3" s="746"/>
    </row>
    <row r="4" spans="1:11" ht="22.95" customHeight="1" x14ac:dyDescent="0.25">
      <c r="A4" s="1"/>
      <c r="B4" s="747" t="s">
        <v>127</v>
      </c>
      <c r="C4" s="747"/>
      <c r="D4" s="747"/>
      <c r="E4" s="747"/>
    </row>
    <row r="5" spans="1:11" ht="33" customHeight="1" x14ac:dyDescent="0.25">
      <c r="A5" s="125" t="s">
        <v>192</v>
      </c>
      <c r="B5" s="748"/>
      <c r="C5" s="748"/>
      <c r="D5" s="748"/>
      <c r="E5" s="748"/>
    </row>
    <row r="6" spans="1:11" ht="22.95" customHeight="1" x14ac:dyDescent="0.25">
      <c r="B6" s="747" t="s">
        <v>375</v>
      </c>
      <c r="C6" s="747"/>
      <c r="D6" s="747"/>
      <c r="E6" s="747"/>
    </row>
    <row r="7" spans="1:11" ht="31.2" customHeight="1" x14ac:dyDescent="0.25">
      <c r="A7" s="750" t="s">
        <v>199</v>
      </c>
      <c r="B7" s="750"/>
      <c r="C7" s="140">
        <f>SUM('12-Projected Revenue'!L35)</f>
        <v>0</v>
      </c>
      <c r="D7" s="749" t="s">
        <v>201</v>
      </c>
      <c r="E7" s="749"/>
    </row>
    <row r="8" spans="1:11" ht="24.6" customHeight="1" thickBot="1" x14ac:dyDescent="0.3">
      <c r="E8" s="4"/>
    </row>
    <row r="9" spans="1:11" ht="73.2" customHeight="1" x14ac:dyDescent="0.25">
      <c r="A9" s="694" t="s">
        <v>465</v>
      </c>
      <c r="B9" s="695"/>
      <c r="C9" s="696"/>
      <c r="D9" s="123" t="s">
        <v>212</v>
      </c>
      <c r="E9" s="124" t="s">
        <v>213</v>
      </c>
    </row>
    <row r="10" spans="1:11" s="7" customFormat="1" ht="28.95" customHeight="1" x14ac:dyDescent="0.25">
      <c r="A10" s="686" t="s">
        <v>250</v>
      </c>
      <c r="B10" s="687"/>
      <c r="C10" s="688"/>
      <c r="D10" s="285"/>
      <c r="E10" s="469"/>
    </row>
    <row r="11" spans="1:11" s="7" customFormat="1" ht="28.95" customHeight="1" x14ac:dyDescent="0.25">
      <c r="A11" s="686" t="s">
        <v>261</v>
      </c>
      <c r="B11" s="687"/>
      <c r="C11" s="688"/>
      <c r="D11" s="285"/>
      <c r="E11" s="469"/>
    </row>
    <row r="12" spans="1:11" s="7" customFormat="1" ht="28.95" customHeight="1" x14ac:dyDescent="0.25">
      <c r="A12" s="686" t="s">
        <v>248</v>
      </c>
      <c r="B12" s="687"/>
      <c r="C12" s="688"/>
      <c r="D12" s="285"/>
      <c r="E12" s="469"/>
    </row>
    <row r="13" spans="1:11" s="7" customFormat="1" ht="28.95" customHeight="1" x14ac:dyDescent="0.25">
      <c r="A13" s="686" t="s">
        <v>249</v>
      </c>
      <c r="B13" s="687"/>
      <c r="C13" s="688"/>
      <c r="D13" s="285"/>
      <c r="E13" s="469"/>
    </row>
    <row r="14" spans="1:11" s="7" customFormat="1" ht="28.95" customHeight="1" x14ac:dyDescent="0.25">
      <c r="A14" s="689" t="s">
        <v>463</v>
      </c>
      <c r="B14" s="690"/>
      <c r="C14" s="691"/>
      <c r="D14" s="285"/>
      <c r="E14" s="469"/>
    </row>
    <row r="15" spans="1:11" s="7" customFormat="1" ht="28.95" customHeight="1" x14ac:dyDescent="0.25">
      <c r="A15" s="471" t="s">
        <v>461</v>
      </c>
      <c r="B15" s="472"/>
      <c r="C15" s="473"/>
      <c r="D15" s="285"/>
      <c r="E15" s="469"/>
      <c r="G15" s="710" t="s">
        <v>467</v>
      </c>
      <c r="H15" s="710"/>
      <c r="I15" s="710"/>
      <c r="J15" s="710"/>
      <c r="K15" s="710"/>
    </row>
    <row r="16" spans="1:11" s="7" customFormat="1" ht="28.95" customHeight="1" x14ac:dyDescent="0.25">
      <c r="A16" s="471" t="s">
        <v>464</v>
      </c>
      <c r="B16" s="472"/>
      <c r="C16" s="473"/>
      <c r="D16" s="285"/>
      <c r="E16" s="469"/>
      <c r="G16" s="710"/>
      <c r="H16" s="710"/>
      <c r="I16" s="710"/>
      <c r="J16" s="710"/>
      <c r="K16" s="710"/>
    </row>
    <row r="17" spans="1:11" s="7" customFormat="1" ht="28.95" customHeight="1" thickBot="1" x14ac:dyDescent="0.3">
      <c r="A17" s="471" t="s">
        <v>466</v>
      </c>
      <c r="B17" s="472"/>
      <c r="C17" s="473"/>
      <c r="D17" s="285"/>
      <c r="E17" s="469"/>
      <c r="G17" s="711"/>
      <c r="H17" s="711"/>
      <c r="I17" s="711"/>
      <c r="J17" s="711"/>
      <c r="K17" s="711"/>
    </row>
    <row r="18" spans="1:11" s="7" customFormat="1" ht="28.95" customHeight="1" x14ac:dyDescent="0.25">
      <c r="A18" s="686" t="s">
        <v>194</v>
      </c>
      <c r="B18" s="687"/>
      <c r="C18" s="688"/>
      <c r="D18" s="285"/>
      <c r="E18" s="469"/>
      <c r="G18" s="712" t="s">
        <v>468</v>
      </c>
      <c r="H18" s="713"/>
      <c r="I18" s="714"/>
      <c r="J18" s="715"/>
      <c r="K18" s="716"/>
    </row>
    <row r="19" spans="1:11" s="7" customFormat="1" ht="28.95" customHeight="1" x14ac:dyDescent="0.25">
      <c r="A19" s="686" t="s">
        <v>196</v>
      </c>
      <c r="B19" s="687"/>
      <c r="C19" s="688"/>
      <c r="D19" s="285"/>
      <c r="E19" s="469"/>
      <c r="G19" s="717"/>
      <c r="H19" s="718"/>
      <c r="I19" s="719"/>
      <c r="J19" s="720"/>
      <c r="K19" s="721"/>
    </row>
    <row r="20" spans="1:11" s="7" customFormat="1" ht="28.95" customHeight="1" x14ac:dyDescent="0.25">
      <c r="A20" s="686" t="s">
        <v>197</v>
      </c>
      <c r="B20" s="687"/>
      <c r="C20" s="688"/>
      <c r="D20" s="285"/>
      <c r="E20" s="469"/>
      <c r="G20" s="723" t="s">
        <v>293</v>
      </c>
      <c r="H20" s="724"/>
      <c r="I20" s="725"/>
      <c r="J20" s="728" t="s">
        <v>292</v>
      </c>
      <c r="K20" s="726" t="s">
        <v>294</v>
      </c>
    </row>
    <row r="21" spans="1:11" s="7" customFormat="1" ht="28.95" customHeight="1" thickBot="1" x14ac:dyDescent="0.3">
      <c r="A21" s="686" t="s">
        <v>198</v>
      </c>
      <c r="B21" s="687"/>
      <c r="C21" s="688"/>
      <c r="D21" s="285"/>
      <c r="E21" s="469"/>
      <c r="G21" s="334" t="s">
        <v>295</v>
      </c>
      <c r="H21" s="331" t="s">
        <v>292</v>
      </c>
      <c r="I21" s="335" t="s">
        <v>296</v>
      </c>
      <c r="J21" s="729"/>
      <c r="K21" s="727"/>
    </row>
    <row r="22" spans="1:11" s="7" customFormat="1" ht="28.95" customHeight="1" x14ac:dyDescent="0.25">
      <c r="A22" s="686" t="s">
        <v>291</v>
      </c>
      <c r="B22" s="687"/>
      <c r="C22" s="688"/>
      <c r="D22" s="285" t="s">
        <v>228</v>
      </c>
      <c r="E22" s="469"/>
      <c r="F22" s="302" t="s">
        <v>291</v>
      </c>
      <c r="G22" s="300"/>
      <c r="H22" s="332" t="s">
        <v>292</v>
      </c>
      <c r="I22" s="301"/>
      <c r="J22" s="332" t="s">
        <v>292</v>
      </c>
      <c r="K22" s="304"/>
    </row>
    <row r="23" spans="1:11" s="7" customFormat="1" ht="28.95" customHeight="1" thickBot="1" x14ac:dyDescent="0.3">
      <c r="A23" s="686" t="s">
        <v>195</v>
      </c>
      <c r="B23" s="687"/>
      <c r="C23" s="688"/>
      <c r="D23" s="285" t="s">
        <v>228</v>
      </c>
      <c r="E23" s="469"/>
      <c r="F23" s="303" t="s">
        <v>195</v>
      </c>
      <c r="G23" s="305"/>
      <c r="H23" s="333" t="s">
        <v>292</v>
      </c>
      <c r="I23" s="306"/>
      <c r="J23" s="333" t="s">
        <v>292</v>
      </c>
      <c r="K23" s="307"/>
    </row>
    <row r="24" spans="1:11" s="7" customFormat="1" ht="25.95" customHeight="1" thickBot="1" x14ac:dyDescent="0.3">
      <c r="A24" s="738" t="s">
        <v>203</v>
      </c>
      <c r="B24" s="739"/>
      <c r="C24" s="739"/>
      <c r="D24" s="740"/>
      <c r="E24" s="470">
        <f>SUM(E10:E23)</f>
        <v>0</v>
      </c>
    </row>
    <row r="25" spans="1:11" s="7" customFormat="1" ht="30" customHeight="1" thickTop="1" thickBot="1" x14ac:dyDescent="0.3">
      <c r="A25" s="735" t="s">
        <v>204</v>
      </c>
      <c r="B25" s="736"/>
      <c r="C25" s="736"/>
      <c r="D25" s="737"/>
      <c r="E25" s="144" t="e">
        <f>E24/C7</f>
        <v>#DIV/0!</v>
      </c>
    </row>
    <row r="26" spans="1:11" s="7" customFormat="1" ht="25.95" customHeight="1" thickTop="1" x14ac:dyDescent="0.25">
      <c r="A26" s="732" t="s">
        <v>200</v>
      </c>
      <c r="B26" s="733"/>
      <c r="C26" s="733"/>
      <c r="D26" s="734"/>
      <c r="E26" s="121"/>
    </row>
    <row r="27" spans="1:11" ht="25.95" customHeight="1" thickBot="1" x14ac:dyDescent="0.3">
      <c r="A27" s="743" t="s">
        <v>202</v>
      </c>
      <c r="B27" s="744"/>
      <c r="C27" s="744"/>
      <c r="D27" s="745"/>
      <c r="E27" s="120">
        <f>SUM(E24,E26)</f>
        <v>0</v>
      </c>
    </row>
    <row r="28" spans="1:11" ht="59.4" customHeight="1" x14ac:dyDescent="0.25">
      <c r="A28" s="742" t="s">
        <v>124</v>
      </c>
      <c r="B28" s="742"/>
      <c r="C28" s="742"/>
      <c r="D28" s="742"/>
      <c r="E28" s="742"/>
    </row>
    <row r="29" spans="1:11" ht="39" customHeight="1" x14ac:dyDescent="0.25">
      <c r="A29" s="286"/>
      <c r="B29" s="731"/>
      <c r="C29" s="731"/>
      <c r="D29" s="107"/>
      <c r="E29" s="122"/>
    </row>
    <row r="30" spans="1:11" x14ac:dyDescent="0.25">
      <c r="A30" s="741" t="s">
        <v>276</v>
      </c>
      <c r="B30" s="741"/>
      <c r="C30" s="741"/>
      <c r="D30" s="14"/>
      <c r="E30" s="287" t="s">
        <v>277</v>
      </c>
    </row>
    <row r="32" spans="1:11" s="7" customFormat="1" x14ac:dyDescent="0.25">
      <c r="A32" s="730" t="s">
        <v>125</v>
      </c>
      <c r="B32" s="730"/>
      <c r="C32" s="730"/>
      <c r="D32" s="730"/>
    </row>
  </sheetData>
  <mergeCells count="32">
    <mergeCell ref="G20:I20"/>
    <mergeCell ref="K20:K21"/>
    <mergeCell ref="J20:J21"/>
    <mergeCell ref="G18:K19"/>
    <mergeCell ref="G15:K17"/>
    <mergeCell ref="A1:E1"/>
    <mergeCell ref="A28:E28"/>
    <mergeCell ref="A27:D27"/>
    <mergeCell ref="B3:E3"/>
    <mergeCell ref="B4:E4"/>
    <mergeCell ref="B5:E5"/>
    <mergeCell ref="B6:E6"/>
    <mergeCell ref="D7:E7"/>
    <mergeCell ref="A7:B7"/>
    <mergeCell ref="A9:C9"/>
    <mergeCell ref="A14:C14"/>
    <mergeCell ref="A10:C10"/>
    <mergeCell ref="A12:C12"/>
    <mergeCell ref="A13:C13"/>
    <mergeCell ref="A11:C11"/>
    <mergeCell ref="A18:C18"/>
    <mergeCell ref="A32:D32"/>
    <mergeCell ref="B29:C29"/>
    <mergeCell ref="A19:C19"/>
    <mergeCell ref="A20:C20"/>
    <mergeCell ref="A21:C21"/>
    <mergeCell ref="A22:C22"/>
    <mergeCell ref="A23:C23"/>
    <mergeCell ref="A26:D26"/>
    <mergeCell ref="A25:D25"/>
    <mergeCell ref="A24:D24"/>
    <mergeCell ref="A30:C30"/>
  </mergeCells>
  <printOptions horizontalCentered="1"/>
  <pageMargins left="0.5" right="0.5" top="0.5" bottom="0.5" header="0.5" footer="0.5"/>
  <pageSetup scale="6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413d7b0-123e-44c5-a33b-55085a2be639">
      <Terms xmlns="http://schemas.microsoft.com/office/infopath/2007/PartnerControls"/>
    </lcf76f155ced4ddcb4097134ff3c332f>
    <TaxCatchAll xmlns="e4664c3e-f049-4574-bd7d-7499d2032cca"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8802C137166343B50D4F97B8D82256" ma:contentTypeVersion="16" ma:contentTypeDescription="Create a new document." ma:contentTypeScope="" ma:versionID="a60f6e3ff57769a905b81cb1fa7b1d96">
  <xsd:schema xmlns:xsd="http://www.w3.org/2001/XMLSchema" xmlns:xs="http://www.w3.org/2001/XMLSchema" xmlns:p="http://schemas.microsoft.com/office/2006/metadata/properties" xmlns:ns1="http://schemas.microsoft.com/sharepoint/v3" xmlns:ns2="d413d7b0-123e-44c5-a33b-55085a2be639" xmlns:ns3="e4664c3e-f049-4574-bd7d-7499d2032cca" xmlns:ns4="aba7623a-5281-4a20-b2ce-878c92233fda" targetNamespace="http://schemas.microsoft.com/office/2006/metadata/properties" ma:root="true" ma:fieldsID="db17178ba3b9b3c4bcc2defb270d1465" ns1:_="" ns2:_="" ns3:_="" ns4:_="">
    <xsd:import namespace="http://schemas.microsoft.com/sharepoint/v3"/>
    <xsd:import namespace="d413d7b0-123e-44c5-a33b-55085a2be639"/>
    <xsd:import namespace="e4664c3e-f049-4574-bd7d-7499d2032cca"/>
    <xsd:import namespace="aba7623a-5281-4a20-b2ce-878c92233fd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4:SharedWithUsers" minOccurs="0"/>
                <xsd:element ref="ns4:SharedWithDetails" minOccurs="0"/>
                <xsd:element ref="ns2:MediaServiceObjectDetectorVersions" minOccurs="0"/>
                <xsd:element ref="ns2:MediaLengthInSecond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13d7b0-123e-44c5-a33b-55085a2be6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0d83692-8000-456c-81e0-753272234f0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internalName="MediaServiceDateTaken"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664c3e-f049-4574-bd7d-7499d2032cc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dd636ca-ce9a-43f5-b302-3ffdf28b5211}" ma:internalName="TaxCatchAll" ma:showField="CatchAllData" ma:web="f36b4f32-ad3a-49c4-a387-595e6330510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a7623a-5281-4a20-b2ce-878c92233fd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5F0426-CC8B-4325-9384-4A34186B2C19}">
  <ds:schemaRefs>
    <ds:schemaRef ds:uri="http://schemas.microsoft.com/sharepoint/v3/contenttype/forms"/>
  </ds:schemaRefs>
</ds:datastoreItem>
</file>

<file path=customXml/itemProps2.xml><?xml version="1.0" encoding="utf-8"?>
<ds:datastoreItem xmlns:ds="http://schemas.openxmlformats.org/officeDocument/2006/customXml" ds:itemID="{17960D0E-BB54-46AC-A146-90DE25622987}">
  <ds:schemaRefs>
    <ds:schemaRef ds:uri="http://schemas.microsoft.com/office/2006/metadata/properties"/>
    <ds:schemaRef ds:uri="http://schemas.microsoft.com/office/infopath/2007/PartnerControls"/>
    <ds:schemaRef ds:uri="d413d7b0-123e-44c5-a33b-55085a2be639"/>
    <ds:schemaRef ds:uri="e4664c3e-f049-4574-bd7d-7499d2032cca"/>
    <ds:schemaRef ds:uri="http://schemas.microsoft.com/sharepoint/v3"/>
  </ds:schemaRefs>
</ds:datastoreItem>
</file>

<file path=customXml/itemProps3.xml><?xml version="1.0" encoding="utf-8"?>
<ds:datastoreItem xmlns:ds="http://schemas.openxmlformats.org/officeDocument/2006/customXml" ds:itemID="{8DFF7317-2C79-4D05-823A-08EA08DAD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413d7b0-123e-44c5-a33b-55085a2be639"/>
    <ds:schemaRef ds:uri="e4664c3e-f049-4574-bd7d-7499d2032cca"/>
    <ds:schemaRef ds:uri="aba7623a-5281-4a20-b2ce-878c92233f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18</vt:i4>
      </vt:variant>
    </vt:vector>
  </HeadingPairs>
  <TitlesOfParts>
    <vt:vector size="35" baseType="lpstr">
      <vt:lpstr>1-Info Section Directions</vt:lpstr>
      <vt:lpstr>2-Required Attachments</vt:lpstr>
      <vt:lpstr>3-Food Specifications</vt:lpstr>
      <vt:lpstr>Sample Non-Price Criteria </vt:lpstr>
      <vt:lpstr>Sample Bid Point Calculator</vt:lpstr>
      <vt:lpstr>4-Bid Point Calculator</vt:lpstr>
      <vt:lpstr>5-Equipment List</vt:lpstr>
      <vt:lpstr>6-VendedContractsAgrmts</vt:lpstr>
      <vt:lpstr>8-USDA Foods</vt:lpstr>
      <vt:lpstr>7-Sites and Programs</vt:lpstr>
      <vt:lpstr>9-Responsibility Details</vt:lpstr>
      <vt:lpstr>10-Current Labor-Fringe</vt:lpstr>
      <vt:lpstr>11-Projected Costs</vt:lpstr>
      <vt:lpstr>12-Projected Revenue</vt:lpstr>
      <vt:lpstr>13-FSMC Proposed Labor-Fringe</vt:lpstr>
      <vt:lpstr>14-Bid Sheet with adv pmt</vt:lpstr>
      <vt:lpstr>15-Bid Sheet without adv pmt</vt:lpstr>
      <vt:lpstr>'10-Current Labor-Fringe'!Print_Area</vt:lpstr>
      <vt:lpstr>'11-Projected Costs'!Print_Area</vt:lpstr>
      <vt:lpstr>'12-Projected Revenue'!Print_Area</vt:lpstr>
      <vt:lpstr>'13-FSMC Proposed Labor-Fringe'!Print_Area</vt:lpstr>
      <vt:lpstr>'14-Bid Sheet with adv pmt'!Print_Area</vt:lpstr>
      <vt:lpstr>'15-Bid Sheet without adv pmt'!Print_Area</vt:lpstr>
      <vt:lpstr>'1-Info Section Directions'!Print_Area</vt:lpstr>
      <vt:lpstr>'2-Required Attachments'!Print_Area</vt:lpstr>
      <vt:lpstr>'3-Food Specifications'!Print_Area</vt:lpstr>
      <vt:lpstr>'4-Bid Point Calculator'!Print_Area</vt:lpstr>
      <vt:lpstr>'5-Equipment List'!Print_Area</vt:lpstr>
      <vt:lpstr>'6-VendedContractsAgrmts'!Print_Area</vt:lpstr>
      <vt:lpstr>'7-Sites and Programs'!Print_Area</vt:lpstr>
      <vt:lpstr>'8-USDA Foods'!Print_Area</vt:lpstr>
      <vt:lpstr>'9-Responsibility Details'!Print_Area</vt:lpstr>
      <vt:lpstr>'Sample Bid Point Calculator'!Print_Area</vt:lpstr>
      <vt:lpstr>'Sample Non-Price Criteria '!Print_Area</vt:lpstr>
      <vt:lpstr>'10-Current Labor-Fringe'!Print_Titles</vt:lpstr>
    </vt:vector>
  </TitlesOfParts>
  <Manager/>
  <Company>CPPS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Saul, Tammy (MDE)</dc:creator>
  <cp:keywords/>
  <dc:description/>
  <cp:lastModifiedBy>Saul, Tammy (MDE)</cp:lastModifiedBy>
  <cp:revision/>
  <cp:lastPrinted>2026-01-15T22:22:52Z</cp:lastPrinted>
  <dcterms:created xsi:type="dcterms:W3CDTF">2003-07-24T18:22:02Z</dcterms:created>
  <dcterms:modified xsi:type="dcterms:W3CDTF">2026-03-11T15:15:23Z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2021-04-26T21:27:56Z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e34f0d0d-ebd1-481d-9c90-50c08eeb1f73</vt:lpwstr>
  </property>
  <property fmtid="{D5CDD505-2E9C-101B-9397-08002B2CF9AE}" pid="8" name="MSIP_Label_2f46dfe0-534f-4c95-815c-5b1af86b9823_ContentBits">
    <vt:lpwstr>0</vt:lpwstr>
  </property>
  <property fmtid="{D5CDD505-2E9C-101B-9397-08002B2CF9AE}" pid="9" name="ContentTypeId">
    <vt:lpwstr>0x010100028802C137166343B50D4F97B8D82256</vt:lpwstr>
  </property>
  <property fmtid="{D5CDD505-2E9C-101B-9397-08002B2CF9AE}" pid="10" name="MediaServiceImageTags">
    <vt:lpwstr/>
  </property>
</Properties>
</file>