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stateofmichigan.sharepoint.com/teams/mde/FoodDistribution/Contracts T/Contracts/25-26 Contracts/1-FSMC 25-26/1-FSMC Bids 25-26/Avondale School District/Final contract docs/Documents/"/>
    </mc:Choice>
  </mc:AlternateContent>
  <xr:revisionPtr revIDLastSave="0" documentId="8_{C139B92C-CE51-4EE4-9069-BC3DFE037D2C}" xr6:coauthVersionLast="47" xr6:coauthVersionMax="47" xr10:uidLastSave="{00000000-0000-0000-0000-000000000000}"/>
  <bookViews>
    <workbookView xWindow="-108" yWindow="-108" windowWidth="23256" windowHeight="12456" tabRatio="863" xr2:uid="{00000000-000D-0000-FFFF-FFFF00000000}"/>
  </bookViews>
  <sheets>
    <sheet name="4-Bid Point Calculator" sheetId="35" r:id="rId1"/>
  </sheets>
  <definedNames>
    <definedName name="_xlnm.Print_Area" localSheetId="0">'4-Bid Point Calculator'!$A$1:$I$37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35" l="1"/>
  <c r="E7" i="35" l="1"/>
  <c r="E8" i="35" s="1"/>
  <c r="E9" i="35" s="1"/>
  <c r="E10" i="35" s="1"/>
  <c r="E37" i="35" s="1"/>
  <c r="D9" i="35"/>
  <c r="D10" i="35" s="1"/>
  <c r="D37" i="35" s="1"/>
  <c r="I7" i="35"/>
  <c r="I8" i="35" s="1"/>
  <c r="I9" i="35" s="1"/>
  <c r="I10" i="35" s="1"/>
  <c r="I37" i="35" s="1"/>
  <c r="H7" i="35"/>
  <c r="H8" i="35" s="1"/>
  <c r="H9" i="35" s="1"/>
  <c r="H10" i="35" s="1"/>
  <c r="H37" i="35" s="1"/>
  <c r="G7" i="35"/>
  <c r="G8" i="35" s="1"/>
  <c r="G9" i="35" s="1"/>
  <c r="G10" i="35" s="1"/>
  <c r="G37" i="35" s="1"/>
  <c r="F7" i="35"/>
  <c r="F8" i="35" s="1"/>
  <c r="F9" i="35" s="1"/>
  <c r="F10" i="35" s="1"/>
  <c r="F37" i="35" s="1"/>
</calcChain>
</file>

<file path=xl/sharedStrings.xml><?xml version="1.0" encoding="utf-8"?>
<sst xmlns="http://schemas.openxmlformats.org/spreadsheetml/2006/main" count="43" uniqueCount="43">
  <si>
    <t>District Manager Support</t>
  </si>
  <si>
    <t>Frequency of district manager presence</t>
  </si>
  <si>
    <t>Ease and ability to travel to district upon request</t>
  </si>
  <si>
    <t>Ability to provide support in emergencies or to ensure smooth operation</t>
  </si>
  <si>
    <t>Training program for foodservice employees</t>
  </si>
  <si>
    <t>Integrity of cost and revenue information</t>
  </si>
  <si>
    <t>Experience staffing K-12 breakfast and lunch programs</t>
  </si>
  <si>
    <t>Experience with menu development and special events</t>
  </si>
  <si>
    <t>Experience conducting procurement</t>
  </si>
  <si>
    <t>Expanding/increasing participation in breakfast and lunch</t>
  </si>
  <si>
    <t>Ways to enhance kitchen/cafeteria atmosphere</t>
  </si>
  <si>
    <t>Company Name</t>
  </si>
  <si>
    <t>Bid Calculation and Evaluation Criteria</t>
  </si>
  <si>
    <t>Enter Bid Price lowest to highest</t>
  </si>
  <si>
    <t>List Non-Price Criteria and Sub-criteria Below
(points will total 100 when added to Bid Price Points)</t>
  </si>
  <si>
    <t>Enter Evaluation Points</t>
  </si>
  <si>
    <t>Management Candidate</t>
  </si>
  <si>
    <t>Integrity of Projected Operating Budget/Forecast</t>
  </si>
  <si>
    <t>TOTAL</t>
  </si>
  <si>
    <t>Total Maximum Points is 100.
Highest number of points wins the award.</t>
  </si>
  <si>
    <r>
      <t xml:space="preserve">BID POINT CALCULATOR AND EVALUATION CRITERIA MATRIX
</t>
    </r>
    <r>
      <rPr>
        <b/>
        <sz val="18"/>
        <color rgb="FF0070C0"/>
        <rFont val="Arial"/>
        <family val="2"/>
      </rPr>
      <t>(to be completed by District/Sponsor)</t>
    </r>
  </si>
  <si>
    <t>Recognition of holiday and special events</t>
  </si>
  <si>
    <t>Samples/examples of materials used</t>
  </si>
  <si>
    <t>Safety and sanitation</t>
  </si>
  <si>
    <t>Professional development for on-site manager</t>
  </si>
  <si>
    <t>Monitoring of food cost</t>
  </si>
  <si>
    <t>Monitoring of labor cost</t>
  </si>
  <si>
    <t>Financial reports</t>
  </si>
  <si>
    <t>Points Assigned</t>
  </si>
  <si>
    <t>Enter Bid Price from lowest to highest &gt;&gt;&gt;&gt;&gt;&gt;&gt;&gt;&gt;&gt;&gt;</t>
  </si>
  <si>
    <t xml:space="preserve">Subtract lowest bid from bid above   </t>
  </si>
  <si>
    <t xml:space="preserve">Divide answer from above by lowest bid   </t>
  </si>
  <si>
    <t xml:space="preserve">Subtract answer above from 1   </t>
  </si>
  <si>
    <t xml:space="preserve">Multiply answer above by 51 or more   </t>
  </si>
  <si>
    <t>Health Department Reports</t>
  </si>
  <si>
    <t>Nutrition Education &amp; Marketing</t>
  </si>
  <si>
    <t>Employee Training, Safety &amp; Development</t>
  </si>
  <si>
    <t>Ensure awareness and timely compliance with government regulations, prepare monthly claims data by the 10th business day of following month, and document compliance with USDA meal requirements and usage of USDA commodities.</t>
  </si>
  <si>
    <t>Experience working in school foodservice 4 years or more</t>
  </si>
  <si>
    <t>AVONDALE SCHOOL DISTRICT</t>
  </si>
  <si>
    <t>Chartwells</t>
  </si>
  <si>
    <t>NUTRITION INC., D/B/A THE NUTRITION GROUP</t>
  </si>
  <si>
    <t>ARAMARK EDUCATIONAL SERVICES,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</si>
</sst>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4"/>
      <name val="Arial"/>
      <family val="2"/>
    </font>
    <font>
      <b/>
      <sz val="18"/>
      <name val="Arial"/>
      <family val="2"/>
    </font>
    <font>
      <sz val="14"/>
      <name val="Arial"/>
      <family val="2"/>
    </font>
    <font>
      <u/>
      <sz val="10"/>
      <color indexed="12"/>
      <name val="Arial"/>
      <family val="2"/>
    </font>
    <font>
      <b/>
      <sz val="16"/>
      <name val="Arial"/>
      <family val="2"/>
    </font>
    <font>
      <u/>
      <sz val="11"/>
      <color theme="10"/>
      <name val="Calibri"/>
      <family val="2"/>
      <scheme val="minor"/>
    </font>
    <font>
      <b/>
      <sz val="11"/>
      <name val="Arial"/>
      <family val="2"/>
    </font>
    <font>
      <b/>
      <sz val="14"/>
      <color rgb="FF0070C0"/>
      <name val="Arial"/>
      <family val="2"/>
    </font>
    <font>
      <b/>
      <sz val="18"/>
      <color rgb="FF0070C0"/>
      <name val="Arial"/>
      <family val="2"/>
    </font>
    <font>
      <u/>
      <sz val="10"/>
      <color theme="10"/>
      <name val="Arial"/>
      <family val="2"/>
    </font>
    <font>
      <sz val="1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3">
    <xf numFmtId="0" fontId="0" fillId="0" borderId="0"/>
    <xf numFmtId="43" fontId="5" fillId="0" borderId="0" applyFont="0" applyFill="0" applyBorder="0" applyAlignment="0" applyProtection="0"/>
    <xf numFmtId="0" fontId="10" fillId="0" borderId="0" applyNumberFormat="0" applyFill="0" applyBorder="0" applyAlignment="0" applyProtection="0">
      <alignment vertical="top"/>
      <protection locked="0"/>
    </xf>
    <xf numFmtId="0" fontId="5" fillId="0" borderId="0"/>
    <xf numFmtId="0" fontId="4" fillId="0" borderId="0"/>
    <xf numFmtId="0" fontId="12" fillId="0" borderId="0" applyNumberFormat="0" applyFill="0" applyBorder="0" applyAlignment="0" applyProtection="0"/>
    <xf numFmtId="0" fontId="3" fillId="0" borderId="0"/>
    <xf numFmtId="0" fontId="12" fillId="0" borderId="0" applyNumberFormat="0" applyFill="0" applyBorder="0" applyAlignment="0" applyProtection="0"/>
    <xf numFmtId="0" fontId="2" fillId="0" borderId="0"/>
    <xf numFmtId="44" fontId="2" fillId="0" borderId="0" applyFont="0" applyFill="0" applyBorder="0" applyAlignment="0" applyProtection="0"/>
    <xf numFmtId="0" fontId="16" fillId="0" borderId="0" applyNumberFormat="0" applyFill="0" applyBorder="0" applyAlignment="0" applyProtection="0"/>
    <xf numFmtId="0" fontId="1" fillId="0" borderId="0"/>
    <xf numFmtId="44" fontId="1" fillId="0" borderId="0" applyFont="0" applyFill="0" applyBorder="0" applyAlignment="0" applyProtection="0"/>
  </cellStyleXfs>
  <cellXfs count="52">
    <xf numFmtId="0" fontId="0" fillId="0" borderId="0" xfId="0"/>
    <xf numFmtId="0" fontId="0" fillId="0" borderId="0" xfId="0" applyProtection="1">
      <protection locked="0"/>
    </xf>
    <xf numFmtId="4" fontId="0" fillId="0" borderId="0" xfId="0" applyNumberFormat="1" applyProtection="1">
      <protection locked="0"/>
    </xf>
    <xf numFmtId="0" fontId="5" fillId="0" borderId="0" xfId="0" applyFont="1" applyProtection="1">
      <protection locked="0"/>
    </xf>
    <xf numFmtId="0" fontId="6" fillId="0" borderId="0" xfId="0" applyFont="1" applyProtection="1">
      <protection locked="0"/>
    </xf>
    <xf numFmtId="4" fontId="6" fillId="4" borderId="1" xfId="0" applyNumberFormat="1" applyFont="1" applyFill="1" applyBorder="1" applyAlignment="1" applyProtection="1">
      <alignment horizontal="center" textRotation="90"/>
      <protection locked="0"/>
    </xf>
    <xf numFmtId="4" fontId="0" fillId="4" borderId="1" xfId="0" applyNumberFormat="1" applyFill="1" applyBorder="1" applyAlignment="1" applyProtection="1">
      <alignment horizontal="center"/>
      <protection locked="0"/>
    </xf>
    <xf numFmtId="4" fontId="5" fillId="4" borderId="1" xfId="1" applyNumberFormat="1" applyFill="1" applyBorder="1" applyProtection="1">
      <protection locked="0"/>
    </xf>
    <xf numFmtId="0" fontId="6" fillId="5" borderId="0" xfId="3" applyFont="1" applyFill="1"/>
    <xf numFmtId="0" fontId="13" fillId="0" borderId="1" xfId="0" applyFont="1" applyBorder="1" applyAlignment="1" applyProtection="1">
      <alignment horizontal="center" vertical="center" wrapText="1"/>
      <protection locked="0"/>
    </xf>
    <xf numFmtId="0" fontId="13" fillId="3" borderId="1" xfId="3" applyFont="1" applyFill="1" applyBorder="1" applyAlignment="1" applyProtection="1">
      <alignment horizontal="center" vertical="center"/>
      <protection locked="0"/>
    </xf>
    <xf numFmtId="0" fontId="17" fillId="3" borderId="1" xfId="3" applyFont="1" applyFill="1" applyBorder="1" applyAlignment="1" applyProtection="1">
      <alignment horizontal="center" vertical="center"/>
      <protection locked="0"/>
    </xf>
    <xf numFmtId="0" fontId="13" fillId="3" borderId="4" xfId="3" applyFont="1" applyFill="1" applyBorder="1" applyAlignment="1" applyProtection="1">
      <alignment vertical="center"/>
      <protection locked="0"/>
    </xf>
    <xf numFmtId="0" fontId="17" fillId="3" borderId="1" xfId="3" applyFont="1" applyFill="1" applyBorder="1" applyAlignment="1" applyProtection="1">
      <alignment vertical="center"/>
      <protection locked="0"/>
    </xf>
    <xf numFmtId="4" fontId="13" fillId="2" borderId="1" xfId="1" applyNumberFormat="1" applyFont="1" applyFill="1" applyBorder="1" applyProtection="1">
      <protection locked="0"/>
    </xf>
    <xf numFmtId="4" fontId="17" fillId="2" borderId="1" xfId="1" applyNumberFormat="1" applyFont="1" applyFill="1" applyBorder="1"/>
    <xf numFmtId="0" fontId="13" fillId="3" borderId="1" xfId="0" applyFont="1" applyFill="1" applyBorder="1" applyAlignment="1" applyProtection="1">
      <alignment horizontal="center" vertical="center"/>
      <protection locked="0"/>
    </xf>
    <xf numFmtId="0" fontId="17" fillId="3" borderId="1" xfId="0" applyFont="1" applyFill="1" applyBorder="1" applyAlignment="1" applyProtection="1">
      <alignment horizontal="center" vertical="center"/>
      <protection locked="0"/>
    </xf>
    <xf numFmtId="0" fontId="17" fillId="3" borderId="1" xfId="0" applyFont="1" applyFill="1" applyBorder="1" applyAlignment="1" applyProtection="1">
      <alignment vertical="center"/>
      <protection locked="0"/>
    </xf>
    <xf numFmtId="0" fontId="13" fillId="2" borderId="1" xfId="0" applyFont="1" applyFill="1" applyBorder="1" applyAlignment="1" applyProtection="1">
      <alignment horizontal="center"/>
      <protection locked="0"/>
    </xf>
    <xf numFmtId="0" fontId="13" fillId="2" borderId="1" xfId="0" applyFont="1" applyFill="1" applyBorder="1" applyAlignment="1" applyProtection="1">
      <alignment horizontal="right"/>
      <protection locked="0"/>
    </xf>
    <xf numFmtId="4" fontId="17" fillId="2" borderId="1" xfId="0" applyNumberFormat="1" applyFont="1" applyFill="1" applyBorder="1"/>
    <xf numFmtId="2" fontId="17" fillId="2" borderId="1" xfId="0" applyNumberFormat="1" applyFont="1" applyFill="1" applyBorder="1"/>
    <xf numFmtId="0" fontId="17" fillId="2" borderId="4" xfId="0" applyFont="1" applyFill="1" applyBorder="1" applyAlignment="1" applyProtection="1">
      <alignment horizontal="center"/>
      <protection locked="0"/>
    </xf>
    <xf numFmtId="4" fontId="0" fillId="4" borderId="1" xfId="0" applyNumberFormat="1" applyFill="1" applyBorder="1" applyAlignment="1" applyProtection="1">
      <alignment horizontal="center" vertical="center"/>
      <protection locked="0"/>
    </xf>
    <xf numFmtId="4" fontId="17" fillId="4" borderId="1" xfId="0" applyNumberFormat="1" applyFont="1" applyFill="1" applyBorder="1" applyAlignment="1" applyProtection="1">
      <alignment horizontal="center" vertical="center"/>
      <protection locked="0"/>
    </xf>
    <xf numFmtId="0" fontId="17" fillId="3" borderId="4" xfId="3" applyFont="1" applyFill="1" applyBorder="1" applyAlignment="1" applyProtection="1">
      <alignment vertical="center"/>
      <protection locked="0"/>
    </xf>
    <xf numFmtId="0" fontId="13" fillId="3" borderId="1" xfId="0" applyFont="1" applyFill="1" applyBorder="1" applyAlignment="1" applyProtection="1">
      <alignment vertical="center"/>
      <protection locked="0"/>
    </xf>
    <xf numFmtId="0" fontId="17" fillId="3" borderId="1" xfId="0" applyFont="1" applyFill="1" applyBorder="1" applyAlignment="1" applyProtection="1">
      <alignment vertical="center" wrapText="1"/>
      <protection locked="0"/>
    </xf>
    <xf numFmtId="4" fontId="9" fillId="4" borderId="4" xfId="0" applyNumberFormat="1" applyFont="1" applyFill="1" applyBorder="1" applyAlignment="1" applyProtection="1">
      <alignment horizontal="center" vertical="center"/>
      <protection locked="0"/>
    </xf>
    <xf numFmtId="4" fontId="9" fillId="4" borderId="3" xfId="0" applyNumberFormat="1" applyFont="1" applyFill="1" applyBorder="1" applyAlignment="1" applyProtection="1">
      <alignment horizontal="center" vertical="center"/>
      <protection locked="0"/>
    </xf>
    <xf numFmtId="4" fontId="9" fillId="4" borderId="5" xfId="0" applyNumberFormat="1" applyFont="1" applyFill="1" applyBorder="1" applyAlignment="1" applyProtection="1">
      <alignment horizontal="center" vertical="center"/>
      <protection locked="0"/>
    </xf>
    <xf numFmtId="4" fontId="7" fillId="4" borderId="8" xfId="0" applyNumberFormat="1" applyFont="1" applyFill="1" applyBorder="1" applyAlignment="1" applyProtection="1">
      <alignment horizontal="center" vertical="center"/>
      <protection locked="0"/>
    </xf>
    <xf numFmtId="4" fontId="7" fillId="4" borderId="2" xfId="0" applyNumberFormat="1" applyFont="1" applyFill="1" applyBorder="1" applyAlignment="1" applyProtection="1">
      <alignment horizontal="center" vertical="center"/>
      <protection locked="0"/>
    </xf>
    <xf numFmtId="4" fontId="7" fillId="4" borderId="7" xfId="0" applyNumberFormat="1" applyFont="1" applyFill="1" applyBorder="1" applyAlignment="1" applyProtection="1">
      <alignment horizontal="center" vertical="center"/>
      <protection locked="0"/>
    </xf>
    <xf numFmtId="0" fontId="8" fillId="0" borderId="7"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4" fillId="0" borderId="6"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9" fillId="4" borderId="4" xfId="0" applyFont="1" applyFill="1" applyBorder="1" applyAlignment="1" applyProtection="1">
      <alignment horizontal="right" vertical="center" wrapText="1"/>
      <protection locked="0"/>
    </xf>
    <xf numFmtId="0" fontId="9" fillId="4" borderId="3" xfId="0" applyFont="1" applyFill="1" applyBorder="1" applyAlignment="1" applyProtection="1">
      <alignment horizontal="right" vertical="center" wrapText="1"/>
      <protection locked="0"/>
    </xf>
    <xf numFmtId="0" fontId="9" fillId="4" borderId="5" xfId="0" applyFont="1" applyFill="1" applyBorder="1" applyAlignment="1" applyProtection="1">
      <alignment horizontal="right" vertical="center" wrapText="1"/>
      <protection locked="0"/>
    </xf>
    <xf numFmtId="0" fontId="13" fillId="0" borderId="4" xfId="0" applyFont="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7" fillId="2" borderId="4" xfId="0" applyFont="1" applyFill="1" applyBorder="1" applyAlignment="1" applyProtection="1">
      <alignment horizontal="right"/>
      <protection locked="0"/>
    </xf>
    <xf numFmtId="0" fontId="17" fillId="2" borderId="3" xfId="0" applyFont="1" applyFill="1" applyBorder="1" applyAlignment="1" applyProtection="1">
      <alignment horizontal="right"/>
      <protection locked="0"/>
    </xf>
    <xf numFmtId="0" fontId="17" fillId="2" borderId="5" xfId="0" applyFont="1" applyFill="1" applyBorder="1" applyAlignment="1" applyProtection="1">
      <alignment horizontal="right"/>
      <protection locked="0"/>
    </xf>
  </cellXfs>
  <cellStyles count="13">
    <cellStyle name="Comma" xfId="1" builtinId="3"/>
    <cellStyle name="Currency 2" xfId="9" xr:uid="{FAFDDE1C-F1D3-479A-96E2-C1BA4E242287}"/>
    <cellStyle name="Currency 2 2" xfId="12" xr:uid="{E888534A-08E2-44B1-ADB4-AFC494B315E4}"/>
    <cellStyle name="Hyperlink 2" xfId="2" xr:uid="{00000000-0005-0000-0000-000003000000}"/>
    <cellStyle name="Hyperlink 3" xfId="5" xr:uid="{65B1FD7B-3D0C-463D-8F4C-422FD5078A49}"/>
    <cellStyle name="Hyperlink 3 2" xfId="7" xr:uid="{945F5425-24CF-4E6D-A69D-B56BF7AF4261}"/>
    <cellStyle name="Hyperlink 4" xfId="10" xr:uid="{E8882A6F-A8B7-42B2-9DAB-3282F4D0008C}"/>
    <cellStyle name="Normal" xfId="0" builtinId="0"/>
    <cellStyle name="Normal 2" xfId="3" xr:uid="{5D760DE8-B70F-45F2-855E-A3E6D18BB0CD}"/>
    <cellStyle name="Normal 3" xfId="4" xr:uid="{C032B376-0058-46BF-A9FF-AF28DEDD8845}"/>
    <cellStyle name="Normal 3 2" xfId="6" xr:uid="{2EE9DD90-5FA7-4174-900C-6EFF404734E6}"/>
    <cellStyle name="Normal 4" xfId="8" xr:uid="{960F1734-C4E0-464E-AE0F-195305EA68FE}"/>
    <cellStyle name="Normal 4 2" xfId="11" xr:uid="{818BAD51-865A-47A9-A8F9-04A2E50DEE3D}"/>
  </cellStyles>
  <dxfs count="0"/>
  <tableStyles count="0" defaultTableStyle="TableStyleMedium9" defaultPivotStyle="PivotStyleLight16"/>
  <colors>
    <mruColors>
      <color rgb="FFE268D9"/>
      <color rgb="FFF9A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8" tint="0.79998168889431442"/>
    <pageSetUpPr fitToPage="1"/>
  </sheetPr>
  <dimension ref="A1:L37"/>
  <sheetViews>
    <sheetView showGridLines="0" tabSelected="1" topLeftCell="A13" zoomScale="70" zoomScaleNormal="70" workbookViewId="0">
      <selection activeCell="E32" sqref="E32"/>
    </sheetView>
  </sheetViews>
  <sheetFormatPr defaultColWidth="9.109375" defaultRowHeight="13.2" x14ac:dyDescent="0.25"/>
  <cols>
    <col min="1" max="1" width="7.109375" style="1" customWidth="1"/>
    <col min="2" max="2" width="5" style="1" customWidth="1"/>
    <col min="3" max="3" width="78.109375" style="1" customWidth="1"/>
    <col min="4" max="9" width="10.6640625" style="2" customWidth="1"/>
    <col min="10" max="16384" width="9.109375" style="1"/>
  </cols>
  <sheetData>
    <row r="1" spans="1:12" ht="78" customHeight="1" x14ac:dyDescent="0.25">
      <c r="A1" s="35" t="s">
        <v>20</v>
      </c>
      <c r="B1" s="35"/>
      <c r="C1" s="36"/>
      <c r="D1" s="36"/>
      <c r="E1" s="36"/>
      <c r="F1" s="36"/>
      <c r="G1" s="36"/>
      <c r="H1" s="36"/>
      <c r="I1" s="37"/>
      <c r="J1" s="3"/>
    </row>
    <row r="2" spans="1:12" ht="32.4" customHeight="1" x14ac:dyDescent="0.25">
      <c r="A2" s="38" t="s">
        <v>39</v>
      </c>
      <c r="B2" s="38"/>
      <c r="C2" s="38"/>
      <c r="D2" s="38"/>
      <c r="E2" s="38"/>
      <c r="F2" s="38"/>
      <c r="G2" s="38"/>
      <c r="H2" s="38"/>
      <c r="I2" s="38"/>
      <c r="L2" s="3"/>
    </row>
    <row r="3" spans="1:12" ht="32.4" customHeight="1" x14ac:dyDescent="0.25">
      <c r="A3" s="39" t="s">
        <v>19</v>
      </c>
      <c r="B3" s="39"/>
      <c r="C3" s="39"/>
      <c r="D3" s="32" t="s">
        <v>11</v>
      </c>
      <c r="E3" s="33"/>
      <c r="F3" s="33"/>
      <c r="G3" s="33"/>
      <c r="H3" s="33"/>
      <c r="I3" s="34"/>
    </row>
    <row r="4" spans="1:12" ht="227.25" customHeight="1" x14ac:dyDescent="0.25">
      <c r="A4" s="40"/>
      <c r="B4" s="40"/>
      <c r="C4" s="40"/>
      <c r="D4" s="5" t="s">
        <v>40</v>
      </c>
      <c r="E4" s="5" t="s">
        <v>41</v>
      </c>
      <c r="F4" s="5" t="s">
        <v>42</v>
      </c>
      <c r="G4" s="5"/>
      <c r="H4" s="6"/>
      <c r="I4" s="6"/>
    </row>
    <row r="5" spans="1:12" ht="35.1" customHeight="1" x14ac:dyDescent="0.25">
      <c r="A5" s="41" t="s">
        <v>12</v>
      </c>
      <c r="B5" s="42"/>
      <c r="C5" s="43"/>
      <c r="D5" s="29" t="s">
        <v>13</v>
      </c>
      <c r="E5" s="30"/>
      <c r="F5" s="30"/>
      <c r="G5" s="30"/>
      <c r="H5" s="30"/>
      <c r="I5" s="31"/>
    </row>
    <row r="6" spans="1:12" ht="47.4" customHeight="1" x14ac:dyDescent="0.25">
      <c r="A6" s="44" t="s">
        <v>29</v>
      </c>
      <c r="B6" s="45"/>
      <c r="C6" s="46"/>
      <c r="D6" s="7">
        <v>3.71</v>
      </c>
      <c r="E6" s="7">
        <v>4.025702656</v>
      </c>
      <c r="F6" s="7">
        <v>4.1617779260000001</v>
      </c>
      <c r="G6" s="7"/>
      <c r="H6" s="7"/>
      <c r="I6" s="7"/>
    </row>
    <row r="7" spans="1:12" ht="35.1" customHeight="1" x14ac:dyDescent="0.25">
      <c r="A7" s="49" t="s">
        <v>30</v>
      </c>
      <c r="B7" s="50"/>
      <c r="C7" s="51"/>
      <c r="D7" s="15">
        <v>0</v>
      </c>
      <c r="E7" s="15">
        <f>+E6-D6</f>
        <v>0.31570265600000003</v>
      </c>
      <c r="F7" s="15">
        <f>+F6-D6</f>
        <v>0.45177792600000011</v>
      </c>
      <c r="G7" s="15">
        <f>+G6-D6</f>
        <v>-3.71</v>
      </c>
      <c r="H7" s="15">
        <f>+H6-D6</f>
        <v>-3.71</v>
      </c>
      <c r="I7" s="15">
        <f>+I6-D6</f>
        <v>-3.71</v>
      </c>
    </row>
    <row r="8" spans="1:12" ht="35.1" customHeight="1" x14ac:dyDescent="0.25">
      <c r="A8" s="49" t="s">
        <v>31</v>
      </c>
      <c r="B8" s="50"/>
      <c r="C8" s="51"/>
      <c r="D8" s="15">
        <v>0</v>
      </c>
      <c r="E8" s="15">
        <f>+E7/D6</f>
        <v>8.5095055525606478E-2</v>
      </c>
      <c r="F8" s="15">
        <f>+F7/D6</f>
        <v>0.12177302587601081</v>
      </c>
      <c r="G8" s="15">
        <f>+G7/$D$6</f>
        <v>-1</v>
      </c>
      <c r="H8" s="15">
        <f>+H7/$D$6</f>
        <v>-1</v>
      </c>
      <c r="I8" s="15">
        <f>+I7/$D$6</f>
        <v>-1</v>
      </c>
    </row>
    <row r="9" spans="1:12" ht="35.1" customHeight="1" x14ac:dyDescent="0.25">
      <c r="A9" s="49" t="s">
        <v>32</v>
      </c>
      <c r="B9" s="50"/>
      <c r="C9" s="51"/>
      <c r="D9" s="21">
        <f>ROUND(1-D8,2)</f>
        <v>1</v>
      </c>
      <c r="E9" s="22">
        <f>1-E8</f>
        <v>0.91490494447439352</v>
      </c>
      <c r="F9" s="22">
        <f>1-F8</f>
        <v>0.8782269741239892</v>
      </c>
      <c r="G9" s="22">
        <f>1-G8</f>
        <v>2</v>
      </c>
      <c r="H9" s="22">
        <f>1-H8</f>
        <v>2</v>
      </c>
      <c r="I9" s="22">
        <f>1-I8</f>
        <v>2</v>
      </c>
    </row>
    <row r="10" spans="1:12" ht="35.1" customHeight="1" x14ac:dyDescent="0.25">
      <c r="A10" s="23">
        <v>51</v>
      </c>
      <c r="B10" s="50" t="s">
        <v>33</v>
      </c>
      <c r="C10" s="51"/>
      <c r="D10" s="21">
        <f>+D9*51</f>
        <v>51</v>
      </c>
      <c r="E10" s="21">
        <f>+E9*51</f>
        <v>46.660152168194067</v>
      </c>
      <c r="F10" s="21">
        <f>(F9*51)</f>
        <v>44.789575680323452</v>
      </c>
      <c r="G10" s="21">
        <f>+G9*0.51*100</f>
        <v>102</v>
      </c>
      <c r="H10" s="21">
        <f>+H9*0.51*100</f>
        <v>102</v>
      </c>
      <c r="I10" s="21">
        <f>+I9*0.51*100</f>
        <v>102</v>
      </c>
    </row>
    <row r="11" spans="1:12" ht="35.1" customHeight="1" x14ac:dyDescent="0.25">
      <c r="A11" s="47" t="s">
        <v>28</v>
      </c>
      <c r="B11" s="48"/>
      <c r="C11" s="9" t="s">
        <v>14</v>
      </c>
      <c r="D11" s="29" t="s">
        <v>15</v>
      </c>
      <c r="E11" s="30"/>
      <c r="F11" s="30"/>
      <c r="G11" s="30"/>
      <c r="H11" s="30"/>
      <c r="I11" s="31"/>
    </row>
    <row r="12" spans="1:12" ht="24.9" customHeight="1" x14ac:dyDescent="0.25">
      <c r="A12" s="16">
        <v>12</v>
      </c>
      <c r="B12" s="17"/>
      <c r="C12" s="27" t="s">
        <v>16</v>
      </c>
      <c r="D12" s="24"/>
      <c r="E12" s="24"/>
      <c r="F12" s="24"/>
      <c r="G12" s="24"/>
      <c r="H12" s="24"/>
      <c r="I12" s="24"/>
    </row>
    <row r="13" spans="1:12" ht="24.9" customHeight="1" x14ac:dyDescent="0.25">
      <c r="A13" s="16"/>
      <c r="B13" s="17">
        <v>3</v>
      </c>
      <c r="C13" s="18" t="s">
        <v>38</v>
      </c>
      <c r="D13" s="25">
        <v>3</v>
      </c>
      <c r="E13" s="25">
        <v>0</v>
      </c>
      <c r="F13" s="25">
        <v>3</v>
      </c>
      <c r="G13" s="25"/>
      <c r="H13" s="25"/>
      <c r="I13" s="25"/>
    </row>
    <row r="14" spans="1:12" ht="24.9" customHeight="1" x14ac:dyDescent="0.25">
      <c r="A14" s="16"/>
      <c r="B14" s="17">
        <v>3</v>
      </c>
      <c r="C14" s="18" t="s">
        <v>6</v>
      </c>
      <c r="D14" s="25">
        <v>3</v>
      </c>
      <c r="E14" s="25">
        <v>0</v>
      </c>
      <c r="F14" s="25">
        <v>3</v>
      </c>
      <c r="G14" s="25"/>
      <c r="H14" s="25"/>
      <c r="I14" s="25"/>
    </row>
    <row r="15" spans="1:12" ht="24.9" customHeight="1" x14ac:dyDescent="0.25">
      <c r="A15" s="16"/>
      <c r="B15" s="17">
        <v>3</v>
      </c>
      <c r="C15" s="18" t="s">
        <v>7</v>
      </c>
      <c r="D15" s="25">
        <v>3</v>
      </c>
      <c r="E15" s="25">
        <v>0</v>
      </c>
      <c r="F15" s="25">
        <v>3</v>
      </c>
      <c r="G15" s="25"/>
      <c r="H15" s="25"/>
      <c r="I15" s="25"/>
    </row>
    <row r="16" spans="1:12" ht="24.9" customHeight="1" x14ac:dyDescent="0.25">
      <c r="A16" s="16"/>
      <c r="B16" s="17">
        <v>3</v>
      </c>
      <c r="C16" s="18" t="s">
        <v>8</v>
      </c>
      <c r="D16" s="25">
        <v>3</v>
      </c>
      <c r="E16" s="25">
        <v>0</v>
      </c>
      <c r="F16" s="25">
        <v>0</v>
      </c>
      <c r="G16" s="25"/>
      <c r="H16" s="25"/>
      <c r="I16" s="25"/>
    </row>
    <row r="17" spans="1:9" ht="24.9" customHeight="1" x14ac:dyDescent="0.25">
      <c r="A17" s="10">
        <v>12</v>
      </c>
      <c r="B17" s="11"/>
      <c r="C17" s="12" t="s">
        <v>36</v>
      </c>
      <c r="D17" s="25"/>
      <c r="E17" s="25"/>
      <c r="F17" s="25"/>
      <c r="G17" s="25"/>
      <c r="H17" s="25"/>
      <c r="I17" s="25"/>
    </row>
    <row r="18" spans="1:9" ht="24.9" customHeight="1" x14ac:dyDescent="0.25">
      <c r="A18" s="10"/>
      <c r="B18" s="11">
        <v>3</v>
      </c>
      <c r="C18" s="13" t="s">
        <v>4</v>
      </c>
      <c r="D18" s="25">
        <v>3</v>
      </c>
      <c r="E18" s="25">
        <v>3</v>
      </c>
      <c r="F18" s="25">
        <v>1</v>
      </c>
      <c r="G18" s="25"/>
      <c r="H18" s="25"/>
      <c r="I18" s="25"/>
    </row>
    <row r="19" spans="1:9" ht="24.9" customHeight="1" x14ac:dyDescent="0.25">
      <c r="A19" s="10"/>
      <c r="B19" s="11">
        <v>3</v>
      </c>
      <c r="C19" s="13" t="s">
        <v>23</v>
      </c>
      <c r="D19" s="25">
        <v>2</v>
      </c>
      <c r="E19" s="25">
        <v>1</v>
      </c>
      <c r="F19" s="25">
        <v>2</v>
      </c>
      <c r="G19" s="25"/>
      <c r="H19" s="25"/>
      <c r="I19" s="25"/>
    </row>
    <row r="20" spans="1:9" ht="24.9" customHeight="1" x14ac:dyDescent="0.25">
      <c r="A20" s="10"/>
      <c r="B20" s="11">
        <v>3</v>
      </c>
      <c r="C20" s="13" t="s">
        <v>24</v>
      </c>
      <c r="D20" s="25">
        <v>3</v>
      </c>
      <c r="E20" s="25">
        <v>3</v>
      </c>
      <c r="F20" s="25">
        <v>3</v>
      </c>
      <c r="G20" s="25"/>
      <c r="H20" s="25"/>
      <c r="I20" s="25"/>
    </row>
    <row r="21" spans="1:9" ht="24.9" customHeight="1" x14ac:dyDescent="0.25">
      <c r="A21" s="10"/>
      <c r="B21" s="11">
        <v>3</v>
      </c>
      <c r="C21" s="26" t="s">
        <v>34</v>
      </c>
      <c r="D21" s="25">
        <v>3</v>
      </c>
      <c r="E21" s="25">
        <v>0</v>
      </c>
      <c r="F21" s="25">
        <v>0</v>
      </c>
      <c r="G21" s="25"/>
      <c r="H21" s="25"/>
      <c r="I21" s="25"/>
    </row>
    <row r="22" spans="1:9" ht="24.9" customHeight="1" x14ac:dyDescent="0.25">
      <c r="A22" s="16">
        <v>11</v>
      </c>
      <c r="B22" s="17"/>
      <c r="C22" s="27" t="s">
        <v>17</v>
      </c>
      <c r="D22" s="25"/>
      <c r="E22" s="25"/>
      <c r="F22" s="25"/>
      <c r="G22" s="25"/>
      <c r="H22" s="25"/>
      <c r="I22" s="25"/>
    </row>
    <row r="23" spans="1:9" ht="24.9" customHeight="1" x14ac:dyDescent="0.25">
      <c r="A23" s="16"/>
      <c r="B23" s="17">
        <v>2</v>
      </c>
      <c r="C23" s="18" t="s">
        <v>5</v>
      </c>
      <c r="D23" s="25">
        <v>2</v>
      </c>
      <c r="E23" s="25">
        <v>1</v>
      </c>
      <c r="F23" s="25">
        <v>1</v>
      </c>
      <c r="G23" s="25"/>
      <c r="H23" s="25"/>
      <c r="I23" s="25"/>
    </row>
    <row r="24" spans="1:9" ht="24.9" customHeight="1" x14ac:dyDescent="0.25">
      <c r="A24" s="16"/>
      <c r="B24" s="17">
        <v>2</v>
      </c>
      <c r="C24" s="18" t="s">
        <v>25</v>
      </c>
      <c r="D24" s="25">
        <v>2</v>
      </c>
      <c r="E24" s="25">
        <v>1</v>
      </c>
      <c r="F24" s="25">
        <v>0</v>
      </c>
      <c r="G24" s="25"/>
      <c r="H24" s="25"/>
      <c r="I24" s="25"/>
    </row>
    <row r="25" spans="1:9" ht="24.9" customHeight="1" x14ac:dyDescent="0.25">
      <c r="A25" s="16"/>
      <c r="B25" s="17">
        <v>2</v>
      </c>
      <c r="C25" s="18" t="s">
        <v>26</v>
      </c>
      <c r="D25" s="25">
        <v>2</v>
      </c>
      <c r="E25" s="25">
        <v>1</v>
      </c>
      <c r="F25" s="25">
        <v>2</v>
      </c>
      <c r="G25" s="25"/>
      <c r="H25" s="25"/>
      <c r="I25" s="25"/>
    </row>
    <row r="26" spans="1:9" ht="24.9" customHeight="1" x14ac:dyDescent="0.25">
      <c r="A26" s="16"/>
      <c r="B26" s="17">
        <v>2</v>
      </c>
      <c r="C26" s="18" t="s">
        <v>27</v>
      </c>
      <c r="D26" s="25">
        <v>2</v>
      </c>
      <c r="E26" s="25">
        <v>1</v>
      </c>
      <c r="F26" s="25">
        <v>0</v>
      </c>
      <c r="G26" s="25"/>
      <c r="H26" s="25"/>
      <c r="I26" s="25"/>
    </row>
    <row r="27" spans="1:9" ht="47.4" customHeight="1" x14ac:dyDescent="0.25">
      <c r="A27" s="16"/>
      <c r="B27" s="17">
        <v>3</v>
      </c>
      <c r="C27" s="28" t="s">
        <v>37</v>
      </c>
      <c r="D27" s="25">
        <v>3</v>
      </c>
      <c r="E27" s="25">
        <v>0</v>
      </c>
      <c r="F27" s="25">
        <v>0</v>
      </c>
      <c r="G27" s="25"/>
      <c r="H27" s="25"/>
      <c r="I27" s="25"/>
    </row>
    <row r="28" spans="1:9" ht="24.9" customHeight="1" x14ac:dyDescent="0.25">
      <c r="A28" s="16">
        <v>10</v>
      </c>
      <c r="B28" s="17"/>
      <c r="C28" s="27" t="s">
        <v>35</v>
      </c>
      <c r="D28" s="25"/>
      <c r="E28" s="25"/>
      <c r="F28" s="25"/>
      <c r="G28" s="25"/>
      <c r="H28" s="25"/>
      <c r="I28" s="25"/>
    </row>
    <row r="29" spans="1:9" ht="24.9" customHeight="1" x14ac:dyDescent="0.25">
      <c r="A29" s="16"/>
      <c r="B29" s="17">
        <v>3</v>
      </c>
      <c r="C29" s="18" t="s">
        <v>22</v>
      </c>
      <c r="D29" s="25">
        <v>3</v>
      </c>
      <c r="E29" s="25">
        <v>3</v>
      </c>
      <c r="F29" s="25">
        <v>3</v>
      </c>
      <c r="G29" s="25"/>
      <c r="H29" s="25"/>
      <c r="I29" s="25"/>
    </row>
    <row r="30" spans="1:9" ht="24.9" customHeight="1" x14ac:dyDescent="0.25">
      <c r="A30" s="16"/>
      <c r="B30" s="17">
        <v>3</v>
      </c>
      <c r="C30" s="18" t="s">
        <v>10</v>
      </c>
      <c r="D30" s="25">
        <v>3</v>
      </c>
      <c r="E30" s="25">
        <v>3</v>
      </c>
      <c r="F30" s="25">
        <v>3</v>
      </c>
      <c r="G30" s="25"/>
      <c r="H30" s="25"/>
      <c r="I30" s="25"/>
    </row>
    <row r="31" spans="1:9" ht="24.9" customHeight="1" x14ac:dyDescent="0.25">
      <c r="A31" s="16"/>
      <c r="B31" s="17">
        <v>2</v>
      </c>
      <c r="C31" s="18" t="s">
        <v>9</v>
      </c>
      <c r="D31" s="25">
        <v>2</v>
      </c>
      <c r="E31" s="25">
        <v>2</v>
      </c>
      <c r="F31" s="25">
        <v>2</v>
      </c>
      <c r="G31" s="25"/>
      <c r="H31" s="25"/>
      <c r="I31" s="25"/>
    </row>
    <row r="32" spans="1:9" ht="24.9" customHeight="1" x14ac:dyDescent="0.25">
      <c r="A32" s="16"/>
      <c r="B32" s="17">
        <v>2</v>
      </c>
      <c r="C32" s="18" t="s">
        <v>21</v>
      </c>
      <c r="D32" s="25">
        <v>2</v>
      </c>
      <c r="E32" s="25">
        <v>1</v>
      </c>
      <c r="F32" s="25">
        <v>2</v>
      </c>
      <c r="G32" s="25"/>
      <c r="H32" s="25"/>
      <c r="I32" s="25"/>
    </row>
    <row r="33" spans="1:12" ht="27.75" customHeight="1" x14ac:dyDescent="0.25">
      <c r="A33" s="16">
        <v>4</v>
      </c>
      <c r="B33" s="17"/>
      <c r="C33" s="27" t="s">
        <v>0</v>
      </c>
      <c r="D33" s="25"/>
      <c r="E33" s="25"/>
      <c r="F33" s="25"/>
      <c r="G33" s="25"/>
      <c r="H33" s="25"/>
      <c r="I33" s="25"/>
    </row>
    <row r="34" spans="1:12" ht="24.6" customHeight="1" x14ac:dyDescent="0.25">
      <c r="A34" s="16"/>
      <c r="B34" s="17">
        <v>1</v>
      </c>
      <c r="C34" s="18" t="s">
        <v>1</v>
      </c>
      <c r="D34" s="25">
        <v>1</v>
      </c>
      <c r="E34" s="25">
        <v>0</v>
      </c>
      <c r="F34" s="25">
        <v>1</v>
      </c>
      <c r="G34" s="25"/>
      <c r="H34" s="25"/>
      <c r="I34" s="25"/>
    </row>
    <row r="35" spans="1:12" ht="24.6" customHeight="1" x14ac:dyDescent="0.25">
      <c r="A35" s="16"/>
      <c r="B35" s="17">
        <v>1</v>
      </c>
      <c r="C35" s="18" t="s">
        <v>2</v>
      </c>
      <c r="D35" s="25">
        <v>1</v>
      </c>
      <c r="E35" s="25">
        <v>0</v>
      </c>
      <c r="F35" s="25">
        <v>1</v>
      </c>
      <c r="G35" s="25"/>
      <c r="H35" s="25"/>
      <c r="I35" s="25"/>
    </row>
    <row r="36" spans="1:12" ht="24.9" customHeight="1" x14ac:dyDescent="0.25">
      <c r="A36" s="16"/>
      <c r="B36" s="17">
        <v>2</v>
      </c>
      <c r="C36" s="18" t="s">
        <v>3</v>
      </c>
      <c r="D36" s="25">
        <v>2</v>
      </c>
      <c r="E36" s="25">
        <v>0</v>
      </c>
      <c r="F36" s="25">
        <v>2</v>
      </c>
      <c r="G36" s="25"/>
      <c r="H36" s="25"/>
      <c r="I36" s="25"/>
    </row>
    <row r="37" spans="1:12" s="4" customFormat="1" ht="24.9" customHeight="1" x14ac:dyDescent="0.25">
      <c r="A37" s="19">
        <f>SUM(A10,A12:A36)</f>
        <v>100</v>
      </c>
      <c r="B37" s="19"/>
      <c r="C37" s="20" t="s">
        <v>18</v>
      </c>
      <c r="D37" s="14">
        <f t="shared" ref="D37:I37" si="0">SUM(D10:D36)</f>
        <v>99</v>
      </c>
      <c r="E37" s="14">
        <f t="shared" si="0"/>
        <v>66.66015216819406</v>
      </c>
      <c r="F37" s="14">
        <f t="shared" si="0"/>
        <v>76.789575680323452</v>
      </c>
      <c r="G37" s="14">
        <f t="shared" si="0"/>
        <v>102</v>
      </c>
      <c r="H37" s="14">
        <f t="shared" si="0"/>
        <v>102</v>
      </c>
      <c r="I37" s="14">
        <f t="shared" si="0"/>
        <v>102</v>
      </c>
      <c r="L37" s="8"/>
    </row>
  </sheetData>
  <mergeCells count="13">
    <mergeCell ref="D11:I11"/>
    <mergeCell ref="D3:I3"/>
    <mergeCell ref="A1:I1"/>
    <mergeCell ref="D5:I5"/>
    <mergeCell ref="A2:I2"/>
    <mergeCell ref="A3:C4"/>
    <mergeCell ref="A5:C5"/>
    <mergeCell ref="A6:C6"/>
    <mergeCell ref="A11:B11"/>
    <mergeCell ref="A7:C7"/>
    <mergeCell ref="A8:C8"/>
    <mergeCell ref="A9:C9"/>
    <mergeCell ref="B10:C10"/>
  </mergeCells>
  <phoneticPr fontId="0" type="noConversion"/>
  <printOptions horizontalCentered="1"/>
  <pageMargins left="0.27" right="0.32" top="0.5" bottom="0.5" header="0.5" footer="0.5"/>
  <pageSetup scale="57"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413d7b0-123e-44c5-a33b-55085a2be639">
      <Terms xmlns="http://schemas.microsoft.com/office/infopath/2007/PartnerControls"/>
    </lcf76f155ced4ddcb4097134ff3c332f>
    <TaxCatchAll xmlns="e4664c3e-f049-4574-bd7d-7499d2032cca"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8802C137166343B50D4F97B8D82256" ma:contentTypeVersion="16" ma:contentTypeDescription="Create a new document." ma:contentTypeScope="" ma:versionID="a60f6e3ff57769a905b81cb1fa7b1d96">
  <xsd:schema xmlns:xsd="http://www.w3.org/2001/XMLSchema" xmlns:xs="http://www.w3.org/2001/XMLSchema" xmlns:p="http://schemas.microsoft.com/office/2006/metadata/properties" xmlns:ns1="http://schemas.microsoft.com/sharepoint/v3" xmlns:ns2="d413d7b0-123e-44c5-a33b-55085a2be639" xmlns:ns3="e4664c3e-f049-4574-bd7d-7499d2032cca" xmlns:ns4="aba7623a-5281-4a20-b2ce-878c92233fda" targetNamespace="http://schemas.microsoft.com/office/2006/metadata/properties" ma:root="true" ma:fieldsID="db17178ba3b9b3c4bcc2defb270d1465" ns1:_="" ns2:_="" ns3:_="" ns4:_="">
    <xsd:import namespace="http://schemas.microsoft.com/sharepoint/v3"/>
    <xsd:import namespace="d413d7b0-123e-44c5-a33b-55085a2be639"/>
    <xsd:import namespace="e4664c3e-f049-4574-bd7d-7499d2032cca"/>
    <xsd:import namespace="aba7623a-5281-4a20-b2ce-878c92233fd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4:SharedWithUsers" minOccurs="0"/>
                <xsd:element ref="ns4:SharedWithDetails"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13d7b0-123e-44c5-a33b-55085a2be6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0d83692-8000-456c-81e0-753272234f0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664c3e-f049-4574-bd7d-7499d2032cca"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dd636ca-ce9a-43f5-b302-3ffdf28b5211}" ma:internalName="TaxCatchAll" ma:showField="CatchAllData" ma:web="f36b4f32-ad3a-49c4-a387-595e6330510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a7623a-5281-4a20-b2ce-878c92233fd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960D0E-BB54-46AC-A146-90DE25622987}">
  <ds:schemaRefs>
    <ds:schemaRef ds:uri="http://schemas.microsoft.com/office/2006/metadata/properties"/>
    <ds:schemaRef ds:uri="http://schemas.microsoft.com/office/infopath/2007/PartnerControls"/>
    <ds:schemaRef ds:uri="d413d7b0-123e-44c5-a33b-55085a2be639"/>
    <ds:schemaRef ds:uri="e4664c3e-f049-4574-bd7d-7499d2032cca"/>
  </ds:schemaRefs>
</ds:datastoreItem>
</file>

<file path=customXml/itemProps2.xml><?xml version="1.0" encoding="utf-8"?>
<ds:datastoreItem xmlns:ds="http://schemas.openxmlformats.org/officeDocument/2006/customXml" ds:itemID="{EA4EA01A-2B36-46C0-AE6C-3390EBE6B3E0}"/>
</file>

<file path=customXml/itemProps3.xml><?xml version="1.0" encoding="utf-8"?>
<ds:datastoreItem xmlns:ds="http://schemas.openxmlformats.org/officeDocument/2006/customXml" ds:itemID="{035F0426-CC8B-4325-9384-4A34186B2C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4-Bid Point Calculator</vt:lpstr>
      <vt:lpstr>'4-Bid Point Calculator'!Print_Area</vt:lpstr>
    </vt:vector>
  </TitlesOfParts>
  <Manager/>
  <Company>CPPS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Saul, Tammy (MDE)</dc:creator>
  <cp:keywords/>
  <dc:description/>
  <cp:lastModifiedBy>Saul, Tammy (MDE)</cp:lastModifiedBy>
  <cp:revision/>
  <cp:lastPrinted>2025-04-22T13:53:57Z</cp:lastPrinted>
  <dcterms:created xsi:type="dcterms:W3CDTF">2003-07-24T18:22:02Z</dcterms:created>
  <dcterms:modified xsi:type="dcterms:W3CDTF">2025-05-04T18:08:08Z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2021-04-26T21:27:56Z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e34f0d0d-ebd1-481d-9c90-50c08eeb1f73</vt:lpwstr>
  </property>
  <property fmtid="{D5CDD505-2E9C-101B-9397-08002B2CF9AE}" pid="8" name="MSIP_Label_2f46dfe0-534f-4c95-815c-5b1af86b9823_ContentBits">
    <vt:lpwstr>0</vt:lpwstr>
  </property>
  <property fmtid="{D5CDD505-2E9C-101B-9397-08002B2CF9AE}" pid="9" name="ContentTypeId">
    <vt:lpwstr>0x010100028802C137166343B50D4F97B8D82256</vt:lpwstr>
  </property>
  <property fmtid="{D5CDD505-2E9C-101B-9397-08002B2CF9AE}" pid="10" name="MediaServiceImageTags">
    <vt:lpwstr/>
  </property>
</Properties>
</file>