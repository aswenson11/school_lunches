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verga\Desktop\"/>
    </mc:Choice>
  </mc:AlternateContent>
  <xr:revisionPtr revIDLastSave="0" documentId="13_ncr:1_{8D91C05A-2ACE-4E2D-B7F4-8F69D2170BAE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EXAMPLE SCORING" sheetId="7" state="hidden" r:id="rId1"/>
    <sheet name="Evaluator #1" sheetId="1" r:id="rId2"/>
    <sheet name="Evaluator #2" sheetId="2" r:id="rId3"/>
    <sheet name="Evaluator #3" sheetId="3" r:id="rId4"/>
    <sheet name="Evaluator #4" sheetId="4" r:id="rId5"/>
    <sheet name="Evaluator #5" sheetId="9" state="hidden" r:id="rId6"/>
    <sheet name="Totals" sheetId="6" r:id="rId7"/>
  </sheets>
  <definedNames>
    <definedName name="_xlnm.Print_Area" localSheetId="1">'Evaluator #1'!$B$2:$K$13</definedName>
    <definedName name="_xlnm.Print_Area" localSheetId="2">'Evaluator #2'!$B$2:$K$13</definedName>
    <definedName name="_xlnm.Print_Area" localSheetId="3">'Evaluator #3'!$B$2:$K$13</definedName>
    <definedName name="_xlnm.Print_Area" localSheetId="4">'Evaluator #4'!$B$2:$K$13</definedName>
    <definedName name="_xlnm.Print_Area" localSheetId="6">Totals!$B$2:$F$10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B8" i="2"/>
  <c r="B9" i="2"/>
  <c r="B10" i="2"/>
  <c r="B7" i="2"/>
  <c r="B7" i="6"/>
  <c r="B6" i="6"/>
  <c r="B5" i="6"/>
  <c r="B4" i="6"/>
  <c r="C12" i="9" l="1"/>
  <c r="K12" i="9" s="1"/>
  <c r="B12" i="9"/>
  <c r="K11" i="9"/>
  <c r="G11" i="9"/>
  <c r="E11" i="9"/>
  <c r="C11" i="9"/>
  <c r="I11" i="9" s="1"/>
  <c r="B11" i="9"/>
  <c r="C10" i="9"/>
  <c r="E10" i="9" s="1"/>
  <c r="B10" i="9"/>
  <c r="C9" i="9"/>
  <c r="K9" i="9" s="1"/>
  <c r="B9" i="9"/>
  <c r="C8" i="9"/>
  <c r="K8" i="9" s="1"/>
  <c r="B8" i="9"/>
  <c r="I7" i="9"/>
  <c r="G7" i="9"/>
  <c r="E7" i="9"/>
  <c r="C7" i="9"/>
  <c r="K7" i="9" s="1"/>
  <c r="B7" i="9"/>
  <c r="C6" i="9"/>
  <c r="C13" i="9" s="1"/>
  <c r="H3" i="9"/>
  <c r="D3" i="9"/>
  <c r="H3" i="4"/>
  <c r="D3" i="4"/>
  <c r="H3" i="3"/>
  <c r="J3" i="3"/>
  <c r="F3" i="1"/>
  <c r="F3" i="4" s="1"/>
  <c r="H3" i="2"/>
  <c r="J3" i="4"/>
  <c r="D3" i="3"/>
  <c r="I8" i="9" l="1"/>
  <c r="D3" i="2"/>
  <c r="J3" i="2"/>
  <c r="J3" i="9"/>
  <c r="G6" i="9"/>
  <c r="G10" i="9"/>
  <c r="I6" i="9"/>
  <c r="I10" i="9"/>
  <c r="K6" i="9"/>
  <c r="K13" i="9" s="1"/>
  <c r="F8" i="6" s="1"/>
  <c r="K10" i="9"/>
  <c r="I12" i="9"/>
  <c r="F3" i="3"/>
  <c r="F3" i="2"/>
  <c r="F3" i="9"/>
  <c r="E9" i="9"/>
  <c r="G9" i="9"/>
  <c r="E8" i="9"/>
  <c r="I9" i="9"/>
  <c r="E12" i="9"/>
  <c r="G8" i="9"/>
  <c r="G12" i="9"/>
  <c r="E6" i="9"/>
  <c r="C7" i="2"/>
  <c r="C6" i="2"/>
  <c r="B12" i="4"/>
  <c r="B11" i="4"/>
  <c r="B10" i="4"/>
  <c r="B9" i="4"/>
  <c r="B8" i="4"/>
  <c r="B7" i="4"/>
  <c r="C12" i="4"/>
  <c r="C11" i="4"/>
  <c r="C10" i="4"/>
  <c r="C9" i="4"/>
  <c r="C8" i="4"/>
  <c r="C7" i="4"/>
  <c r="B12" i="3"/>
  <c r="B11" i="3"/>
  <c r="B10" i="3"/>
  <c r="B9" i="3"/>
  <c r="B8" i="3"/>
  <c r="B7" i="3"/>
  <c r="C12" i="3"/>
  <c r="C11" i="3"/>
  <c r="C10" i="3"/>
  <c r="C9" i="3"/>
  <c r="C8" i="3"/>
  <c r="C7" i="3"/>
  <c r="B12" i="2"/>
  <c r="B11" i="2"/>
  <c r="C12" i="2"/>
  <c r="C11" i="2"/>
  <c r="C10" i="2"/>
  <c r="C9" i="2"/>
  <c r="C8" i="2"/>
  <c r="I13" i="9" l="1"/>
  <c r="E8" i="6" s="1"/>
  <c r="G13" i="9"/>
  <c r="D8" i="6" s="1"/>
  <c r="E13" i="9"/>
  <c r="C8" i="6" s="1"/>
  <c r="C6" i="4"/>
  <c r="C6" i="3"/>
  <c r="E6" i="1" l="1"/>
  <c r="C12" i="7"/>
  <c r="K11" i="7"/>
  <c r="I11" i="7"/>
  <c r="G11" i="7"/>
  <c r="E11" i="7"/>
  <c r="K10" i="7"/>
  <c r="I10" i="7"/>
  <c r="G10" i="7"/>
  <c r="E10" i="7"/>
  <c r="K9" i="7"/>
  <c r="I9" i="7"/>
  <c r="G9" i="7"/>
  <c r="E9" i="7"/>
  <c r="K8" i="7"/>
  <c r="I8" i="7"/>
  <c r="G8" i="7"/>
  <c r="E8" i="7"/>
  <c r="K7" i="7"/>
  <c r="I7" i="7"/>
  <c r="G7" i="7"/>
  <c r="E7" i="7"/>
  <c r="K6" i="7"/>
  <c r="I6" i="7"/>
  <c r="G6" i="7"/>
  <c r="E6" i="7"/>
  <c r="K5" i="7"/>
  <c r="I5" i="7"/>
  <c r="G5" i="7"/>
  <c r="E5" i="7"/>
  <c r="E12" i="7" l="1"/>
  <c r="G12" i="7"/>
  <c r="I12" i="7"/>
  <c r="K12" i="7"/>
  <c r="C13" i="4"/>
  <c r="C13" i="3"/>
  <c r="C13" i="2"/>
  <c r="C13" i="1"/>
  <c r="K12" i="4"/>
  <c r="K11" i="4"/>
  <c r="I12" i="4"/>
  <c r="I11" i="4"/>
  <c r="G12" i="4"/>
  <c r="G11" i="4"/>
  <c r="E12" i="4"/>
  <c r="E11" i="4"/>
  <c r="K12" i="3"/>
  <c r="K11" i="3"/>
  <c r="I12" i="3"/>
  <c r="I11" i="3"/>
  <c r="G12" i="3"/>
  <c r="G11" i="3"/>
  <c r="E12" i="3"/>
  <c r="E11" i="3"/>
  <c r="K12" i="2"/>
  <c r="K11" i="2"/>
  <c r="I12" i="2"/>
  <c r="I11" i="2"/>
  <c r="G12" i="2"/>
  <c r="G11" i="2"/>
  <c r="E12" i="2"/>
  <c r="E11" i="2"/>
  <c r="K12" i="1" l="1"/>
  <c r="K11" i="1"/>
  <c r="I12" i="1"/>
  <c r="I11" i="1"/>
  <c r="G12" i="1"/>
  <c r="G11" i="1"/>
  <c r="E12" i="1"/>
  <c r="E11" i="1"/>
  <c r="K10" i="4" l="1"/>
  <c r="K9" i="4"/>
  <c r="K8" i="4"/>
  <c r="K7" i="4"/>
  <c r="K6" i="4"/>
  <c r="I10" i="4"/>
  <c r="I9" i="4"/>
  <c r="I8" i="4"/>
  <c r="I7" i="4"/>
  <c r="I6" i="4"/>
  <c r="G10" i="4"/>
  <c r="G9" i="4"/>
  <c r="G8" i="4"/>
  <c r="G7" i="4"/>
  <c r="G6" i="4"/>
  <c r="E10" i="4"/>
  <c r="E9" i="4"/>
  <c r="E8" i="4"/>
  <c r="E7" i="4"/>
  <c r="E6" i="4"/>
  <c r="K10" i="3"/>
  <c r="K9" i="3"/>
  <c r="K8" i="3"/>
  <c r="K7" i="3"/>
  <c r="K6" i="3"/>
  <c r="I10" i="3"/>
  <c r="I9" i="3"/>
  <c r="I8" i="3"/>
  <c r="I7" i="3"/>
  <c r="I6" i="3"/>
  <c r="G10" i="3"/>
  <c r="G9" i="3"/>
  <c r="G8" i="3"/>
  <c r="G7" i="3"/>
  <c r="G6" i="3"/>
  <c r="E10" i="3"/>
  <c r="E9" i="3"/>
  <c r="E8" i="3"/>
  <c r="E7" i="3"/>
  <c r="E6" i="3"/>
  <c r="K10" i="2"/>
  <c r="K9" i="2"/>
  <c r="K8" i="2"/>
  <c r="K7" i="2"/>
  <c r="K6" i="2"/>
  <c r="I10" i="2"/>
  <c r="I9" i="2"/>
  <c r="I8" i="2"/>
  <c r="I7" i="2"/>
  <c r="I6" i="2"/>
  <c r="G10" i="2"/>
  <c r="G9" i="2"/>
  <c r="G8" i="2"/>
  <c r="G7" i="2"/>
  <c r="G6" i="2"/>
  <c r="E10" i="2"/>
  <c r="E9" i="2"/>
  <c r="E8" i="2"/>
  <c r="E7" i="2"/>
  <c r="E6" i="2"/>
  <c r="K13" i="4" l="1"/>
  <c r="F7" i="6" s="1"/>
  <c r="I13" i="4"/>
  <c r="E7" i="6" s="1"/>
  <c r="G13" i="4"/>
  <c r="D7" i="6" s="1"/>
  <c r="E13" i="4"/>
  <c r="C7" i="6" s="1"/>
  <c r="K13" i="2"/>
  <c r="F5" i="6" s="1"/>
  <c r="I13" i="2"/>
  <c r="E5" i="6" s="1"/>
  <c r="G13" i="2"/>
  <c r="D5" i="6" s="1"/>
  <c r="E13" i="2"/>
  <c r="C5" i="6" s="1"/>
  <c r="K13" i="3"/>
  <c r="F6" i="6" s="1"/>
  <c r="E13" i="3"/>
  <c r="C6" i="6" s="1"/>
  <c r="I13" i="3"/>
  <c r="G13" i="3"/>
  <c r="D6" i="6" s="1"/>
  <c r="K10" i="1"/>
  <c r="K9" i="1"/>
  <c r="K8" i="1"/>
  <c r="K7" i="1"/>
  <c r="K6" i="1"/>
  <c r="I10" i="1"/>
  <c r="I9" i="1"/>
  <c r="I8" i="1"/>
  <c r="I7" i="1"/>
  <c r="I6" i="1"/>
  <c r="G10" i="1"/>
  <c r="G9" i="1"/>
  <c r="G8" i="1"/>
  <c r="G7" i="1"/>
  <c r="G6" i="1"/>
  <c r="E10" i="1"/>
  <c r="E9" i="1"/>
  <c r="E8" i="1"/>
  <c r="E7" i="1"/>
  <c r="E6" i="6" l="1"/>
  <c r="K13" i="1"/>
  <c r="F4" i="6" s="1"/>
  <c r="F9" i="6" s="1"/>
  <c r="F10" i="6" s="1"/>
  <c r="I13" i="1"/>
  <c r="G13" i="1"/>
  <c r="D4" i="6" s="1"/>
  <c r="D9" i="6" s="1"/>
  <c r="D10" i="6" s="1"/>
  <c r="E13" i="1"/>
  <c r="C4" i="6" s="1"/>
  <c r="C9" i="6" s="1"/>
  <c r="C10" i="6" s="1"/>
  <c r="E9" i="6" l="1"/>
  <c r="E10" i="6" s="1"/>
</calcChain>
</file>

<file path=xl/sharedStrings.xml><?xml version="1.0" encoding="utf-8"?>
<sst xmlns="http://schemas.openxmlformats.org/spreadsheetml/2006/main" count="149" uniqueCount="56">
  <si>
    <t>The Criteria Used in Evaluating Proposals:  The points awarded range from 1 to 5, with 5 being the highest score and 1 being the lowest</t>
  </si>
  <si>
    <t>Weighting Factor</t>
  </si>
  <si>
    <t>Points 1 to 5</t>
  </si>
  <si>
    <t>Total Score</t>
  </si>
  <si>
    <t>Total</t>
  </si>
  <si>
    <t>Evaluator</t>
  </si>
  <si>
    <t>Total / # of evaluators</t>
  </si>
  <si>
    <t>TOTAL</t>
  </si>
  <si>
    <t>0.45 x 4 = 1.8</t>
  </si>
  <si>
    <r>
      <rPr>
        <b/>
        <sz val="11"/>
        <color theme="1"/>
        <rFont val="Calibri"/>
        <family val="2"/>
        <scheme val="minor"/>
      </rPr>
      <t>4.1</t>
    </r>
    <r>
      <rPr>
        <sz val="11"/>
        <color theme="1"/>
        <rFont val="Calibri"/>
        <family val="2"/>
        <scheme val="minor"/>
      </rPr>
      <t xml:space="preserve"> + 4.35 + 3.85 + 4.3 = 16.6</t>
    </r>
  </si>
  <si>
    <r>
      <rPr>
        <b/>
        <sz val="11"/>
        <color theme="1"/>
        <rFont val="Calibri"/>
        <family val="2"/>
        <scheme val="minor"/>
      </rPr>
      <t>(1) Total Cost</t>
    </r>
    <r>
      <rPr>
        <sz val="11"/>
        <color theme="1"/>
        <rFont val="Calibri"/>
        <family val="2"/>
        <scheme val="minor"/>
      </rPr>
      <t>: points awarded to the cost of the contract will be based on the lowest total cost receiving the most points with decreasing points for each FSMC's higher cost.</t>
    </r>
  </si>
  <si>
    <t>(2) Food Quality/Specifications: FSMC met SFA’s requirements for food quality/specifications in its response.</t>
  </si>
  <si>
    <t>(3) Menu: consider the FSMCs’ 21-day cycle menu for variety, student acceptability, number and kinds of choices available and a la carte selections and pricing for students. Are you requiring food samples in your RFP?</t>
  </si>
  <si>
    <t>(4) Corporate Capability and Experience: some measures can include, performance record, years in the industry, client retention, references and financial condition of the FSMC.</t>
  </si>
  <si>
    <t>(5) Accounting and Reporting Systems: the transparency and ease of use of the financial reports FSMC provides with their monthly billing. Integrity and reliability of monthly invoicing and reporting.</t>
  </si>
  <si>
    <r>
      <rPr>
        <b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 xml:space="preserve"> Total Scores are added together so that each FSMC receives a weighted score from every evaluator.</t>
    </r>
  </si>
  <si>
    <t>FSMC Total Weighted Scores</t>
  </si>
  <si>
    <r>
      <rPr>
        <b/>
        <sz val="11"/>
        <color theme="1"/>
        <rFont val="Calibri"/>
        <family val="2"/>
        <scheme val="minor"/>
      </rPr>
      <t>(1) PLEASE NOTE:</t>
    </r>
    <r>
      <rPr>
        <sz val="11"/>
        <color theme="1"/>
        <rFont val="Calibri"/>
        <family val="2"/>
        <scheme val="minor"/>
      </rPr>
      <t xml:space="preserve"> The calculation for Total Score is - </t>
    </r>
    <r>
      <rPr>
        <b/>
        <sz val="11"/>
        <color theme="1"/>
        <rFont val="Calibri"/>
        <family val="2"/>
        <scheme val="minor"/>
      </rPr>
      <t>Weighting Factor Percentage x Points Awarded = Total Score</t>
    </r>
  </si>
  <si>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Weighting Factor 45% x 4 Points = 1.8</t>
    </r>
  </si>
  <si>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 Evaluator #1 FSMC #1 Total Scores for Scoring Criteria (1) through (5) = </t>
    </r>
    <r>
      <rPr>
        <b/>
        <sz val="11"/>
        <color theme="1"/>
        <rFont val="Calibri"/>
        <family val="2"/>
        <scheme val="minor"/>
      </rPr>
      <t>TOTAL for FSMC #1</t>
    </r>
  </si>
  <si>
    <r>
      <t xml:space="preserve">1.8 + 1.25 + 0.6 + 0.2 + 0.25 = </t>
    </r>
    <r>
      <rPr>
        <b/>
        <sz val="11"/>
        <color theme="1"/>
        <rFont val="Calibri"/>
        <family val="2"/>
        <scheme val="minor"/>
      </rPr>
      <t>4.1</t>
    </r>
  </si>
  <si>
    <r>
      <rPr>
        <b/>
        <sz val="11"/>
        <color theme="1"/>
        <rFont val="Calibri"/>
        <family val="2"/>
        <scheme val="minor"/>
      </rPr>
      <t>EXAMPLE: Evaluator #1 Total FSMC #1 Score</t>
    </r>
    <r>
      <rPr>
        <sz val="11"/>
        <color theme="1"/>
        <rFont val="Calibri"/>
        <family val="2"/>
        <scheme val="minor"/>
      </rPr>
      <t xml:space="preserve"> + Evaluator #2 Total FSMC #1 Score + Evaluator #3 Total FSMC #1 Score + Evaluator #4 Total FSMC #1 Score = Total FSMC #1 Score</t>
    </r>
  </si>
  <si>
    <r>
      <rPr>
        <b/>
        <sz val="11"/>
        <color theme="1"/>
        <rFont val="Calibri"/>
        <family val="2"/>
        <scheme val="minor"/>
      </rPr>
      <t>(3)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>Total Score</t>
    </r>
    <r>
      <rPr>
        <sz val="11"/>
        <color theme="1"/>
        <rFont val="Calibri"/>
        <family val="2"/>
        <scheme val="minor"/>
      </rPr>
      <t xml:space="preserve"> by each evaluator for a FSMC is </t>
    </r>
    <r>
      <rPr>
        <b/>
        <sz val="11"/>
        <color theme="1"/>
        <rFont val="Calibri"/>
        <family val="2"/>
        <scheme val="minor"/>
      </rPr>
      <t>added</t>
    </r>
    <r>
      <rPr>
        <sz val="11"/>
        <color theme="1"/>
        <rFont val="Calibri"/>
        <family val="2"/>
        <scheme val="minor"/>
      </rPr>
      <t xml:space="preserve"> together and </t>
    </r>
    <r>
      <rPr>
        <b/>
        <sz val="11"/>
        <color theme="1"/>
        <rFont val="Calibri"/>
        <family val="2"/>
        <scheme val="minor"/>
      </rPr>
      <t>divided</t>
    </r>
    <r>
      <rPr>
        <sz val="11"/>
        <color theme="1"/>
        <rFont val="Calibri"/>
        <family val="2"/>
        <scheme val="minor"/>
      </rPr>
      <t xml:space="preserve"> by the</t>
    </r>
    <r>
      <rPr>
        <b/>
        <sz val="11"/>
        <color theme="1"/>
        <rFont val="Calibri"/>
        <family val="2"/>
        <scheme val="minor"/>
      </rPr>
      <t xml:space="preserve"> number of evaluators</t>
    </r>
    <r>
      <rPr>
        <sz val="11"/>
        <color theme="1"/>
        <rFont val="Calibri"/>
        <family val="2"/>
        <scheme val="minor"/>
      </rPr>
      <t xml:space="preserve">. The resulting number is the FSMC's </t>
    </r>
    <r>
      <rPr>
        <b/>
        <sz val="11"/>
        <color theme="1"/>
        <rFont val="Calibri"/>
        <family val="2"/>
        <scheme val="minor"/>
      </rPr>
      <t>total weighted score</t>
    </r>
    <r>
      <rPr>
        <sz val="11"/>
        <color theme="1"/>
        <rFont val="Calibri"/>
        <family val="2"/>
        <scheme val="minor"/>
      </rPr>
      <t xml:space="preserve"> to be compared to every other FSMC for award of the contract.</t>
    </r>
  </si>
  <si>
    <r>
      <t xml:space="preserve">Total FSMC #1 Score / Number of Evaluators = </t>
    </r>
    <r>
      <rPr>
        <b/>
        <sz val="11"/>
        <color theme="1"/>
        <rFont val="Calibri"/>
        <family val="2"/>
        <scheme val="minor"/>
      </rPr>
      <t>FSMC #1's Total Weighted Score</t>
    </r>
  </si>
  <si>
    <r>
      <t xml:space="preserve">16.6 / 4 = </t>
    </r>
    <r>
      <rPr>
        <b/>
        <sz val="11"/>
        <color theme="1"/>
        <rFont val="Calibri"/>
        <family val="2"/>
        <scheme val="minor"/>
      </rPr>
      <t>4.15</t>
    </r>
  </si>
  <si>
    <t>(6)</t>
  </si>
  <si>
    <t>(7)</t>
  </si>
  <si>
    <t>A guarantee can only be given consideration in awarding of the contract if it is listed as one of the scoring criteria.</t>
  </si>
  <si>
    <t>IMPORTANT NOTES</t>
  </si>
  <si>
    <t>When scoring Total Cost, the FSMC with the lowest Total Cost must receive 5 points for that criterion. EXAMPLE: The next lowest Total Cost amount should receive 4 points, the next lowest 3 points, etc.</t>
  </si>
  <si>
    <t>When scoring a guarantee, the FSMC with the highest guaranteed return must receive 5 points for that criterion. EXAMPLE: The next highest guarantee amount should receive 4 points, the next highest 3 points, etc.</t>
  </si>
  <si>
    <t>*Instructions: Enter name of evaluator in row 2. Enter the name of the FSMC at the top of each column.</t>
  </si>
  <si>
    <t>*FSMC Evaluations - Evaluator #1 Name:</t>
  </si>
  <si>
    <t>*FSMC Evaluations - Evaluator #2 Name:</t>
  </si>
  <si>
    <t>*FSMC Evaluations - Evaluator #3 Name:</t>
  </si>
  <si>
    <t>*FSMC Evaluations - Evaluator #4 Name:</t>
  </si>
  <si>
    <t xml:space="preserve">*Instructions: Enter name of evaluator in row 2. </t>
  </si>
  <si>
    <t>*Instructions: Enter name of evaluator in row 2.</t>
  </si>
  <si>
    <t>Form 320B
Revised October 2023</t>
  </si>
  <si>
    <t>Berkeley Township Schoo District  FSMC Evaluations</t>
  </si>
  <si>
    <t>Sodexo</t>
  </si>
  <si>
    <t>Nutri-Serve</t>
  </si>
  <si>
    <t>N/A</t>
  </si>
  <si>
    <t>(5) Corporate Capability and Experience: some measures can include performance record, years in the industry, client retention, references and  financial condition of the FSMC</t>
  </si>
  <si>
    <t xml:space="preserve">(1) Total Cost: points awarded to the cost of the contract (the amount indicated on page/tab 5 of Form 23FP, Total Program, Fixed Price per Meal Program Totals) 
will be based on the lowest total cost receiving the most points with  decreasing points for each FSMC's higher cost.
</t>
  </si>
  <si>
    <t>#5</t>
  </si>
  <si>
    <t>Megan Ornstein</t>
  </si>
  <si>
    <t>(2)Guaranteed Return: points awarded will be based upon the highest unlimited guaranteed return receiving the most points with decreasing points for each FSMC's lower guaranteed return</t>
  </si>
  <si>
    <t>(3)Menu: Consider the FSMC's 21- day cycle menu for variety, student acceptability, number and kinds of choices available and a la carte selections</t>
  </si>
  <si>
    <t>(4)Proposed Meal Count and Financial Targets: If the FSMCs are proposing increase in meal counts and income in their proposals, are they realistic? Consider, if their plans for achieving these goals are practical and reasonable</t>
  </si>
  <si>
    <t>Whitson</t>
  </si>
  <si>
    <t>SFE</t>
  </si>
  <si>
    <t>Chartwells</t>
  </si>
  <si>
    <t>Tom Guarascio</t>
  </si>
  <si>
    <t>Whitsons</t>
  </si>
  <si>
    <t xml:space="preserve">Anne Marie Trethaway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</si>
</sst>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0" fillId="5" borderId="10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/>
    </xf>
    <xf numFmtId="0" fontId="0" fillId="14" borderId="7" xfId="0" applyFill="1" applyBorder="1" applyAlignment="1" applyProtection="1">
      <alignment horizontal="center" vertical="center" wrapText="1"/>
      <protection locked="0"/>
    </xf>
    <xf numFmtId="0" fontId="0" fillId="10" borderId="7" xfId="0" applyFill="1" applyBorder="1" applyAlignment="1">
      <alignment vertical="top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9" fontId="1" fillId="0" borderId="18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7" xfId="0" applyBorder="1" applyAlignment="1" applyProtection="1">
      <alignment vertical="top" wrapText="1"/>
      <protection locked="0"/>
    </xf>
    <xf numFmtId="0" fontId="0" fillId="0" borderId="36" xfId="0" quotePrefix="1" applyBorder="1" applyAlignment="1" applyProtection="1">
      <alignment vertical="top" wrapText="1"/>
      <protection locked="0"/>
    </xf>
    <xf numFmtId="9" fontId="0" fillId="0" borderId="4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2" borderId="8" xfId="0" applyFont="1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7" xfId="0" quotePrefix="1" applyBorder="1" applyAlignment="1" applyProtection="1">
      <alignment vertical="top" wrapText="1"/>
      <protection locked="0"/>
    </xf>
    <xf numFmtId="9" fontId="0" fillId="0" borderId="4" xfId="0" applyNumberFormat="1" applyBorder="1" applyAlignment="1">
      <alignment horizontal="center" vertical="center" wrapText="1"/>
    </xf>
    <xf numFmtId="0" fontId="0" fillId="0" borderId="7" xfId="0" quotePrefix="1" applyBorder="1" applyAlignment="1">
      <alignment vertical="top" wrapText="1"/>
    </xf>
    <xf numFmtId="0" fontId="0" fillId="0" borderId="36" xfId="0" quotePrefix="1" applyBorder="1" applyAlignment="1">
      <alignment vertical="top" wrapText="1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 applyProtection="1">
      <alignment horizontal="center"/>
      <protection locked="0"/>
    </xf>
    <xf numFmtId="0" fontId="1" fillId="5" borderId="15" xfId="0" applyFont="1" applyFill="1" applyBorder="1" applyAlignment="1" applyProtection="1">
      <alignment horizontal="center"/>
      <protection locked="0"/>
    </xf>
    <xf numFmtId="0" fontId="2" fillId="5" borderId="38" xfId="0" applyFont="1" applyFill="1" applyBorder="1" applyAlignment="1" applyProtection="1">
      <alignment horizontal="right" vertical="center"/>
      <protection locked="0"/>
    </xf>
    <xf numFmtId="0" fontId="2" fillId="5" borderId="39" xfId="0" applyFont="1" applyFill="1" applyBorder="1" applyAlignment="1" applyProtection="1">
      <alignment horizontal="left" vertical="center"/>
      <protection locked="0"/>
    </xf>
    <xf numFmtId="0" fontId="2" fillId="5" borderId="39" xfId="0" applyFont="1" applyFill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0" fillId="0" borderId="32" xfId="0" applyBorder="1" applyAlignment="1">
      <alignment horizontal="right" wrapText="1"/>
    </xf>
    <xf numFmtId="0" fontId="1" fillId="11" borderId="5" xfId="0" applyFont="1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0" fillId="11" borderId="34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35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vertical="center" wrapText="1"/>
    </xf>
    <xf numFmtId="0" fontId="1" fillId="5" borderId="12" xfId="0" applyFont="1" applyFill="1" applyBorder="1" applyAlignment="1" applyProtection="1">
      <alignment horizontal="center"/>
      <protection locked="0"/>
    </xf>
    <xf numFmtId="0" fontId="1" fillId="5" borderId="13" xfId="0" applyFont="1" applyFill="1" applyBorder="1" applyAlignment="1" applyProtection="1">
      <alignment horizontal="center"/>
      <protection locked="0"/>
    </xf>
    <xf numFmtId="0" fontId="1" fillId="5" borderId="0" xfId="0" applyFont="1" applyFill="1" applyAlignment="1">
      <alignment horizontal="center" vertical="center" wrapText="1"/>
    </xf>
    <xf numFmtId="0" fontId="0" fillId="0" borderId="14" xfId="0" applyBorder="1" applyAlignment="1">
      <alignment horizontal="right"/>
    </xf>
    <xf numFmtId="0" fontId="0" fillId="0" borderId="3" xfId="0" applyBorder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1" fillId="6" borderId="22" xfId="0" applyNumberFormat="1" applyFont="1" applyFill="1" applyBorder="1" applyAlignment="1" applyProtection="1">
      <alignment horizontal="center" vertical="center"/>
      <protection locked="0"/>
    </xf>
    <xf numFmtId="2" fontId="1" fillId="8" borderId="22" xfId="0" applyNumberFormat="1" applyFont="1" applyFill="1" applyBorder="1" applyAlignment="1" applyProtection="1">
      <alignment horizontal="center" vertical="center"/>
      <protection locked="0"/>
    </xf>
    <xf numFmtId="2" fontId="1" fillId="11" borderId="22" xfId="0" applyNumberFormat="1" applyFont="1" applyFill="1" applyBorder="1" applyAlignment="1" applyProtection="1">
      <alignment horizontal="center" vertical="center"/>
      <protection locked="0"/>
    </xf>
    <xf numFmtId="2" fontId="1" fillId="13" borderId="1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9"/>
  <sheetViews>
    <sheetView workbookViewId="0">
      <selection activeCell="J5" sqref="J5"/>
    </sheetView>
  </sheetViews>
  <sheetFormatPr defaultRowHeight="15" x14ac:dyDescent="0.25"/>
  <cols>
    <col min="1" max="1" width="2.85546875" customWidth="1"/>
    <col min="2" max="2" width="71.7109375" customWidth="1"/>
    <col min="3" max="3" width="10.42578125" customWidth="1"/>
    <col min="9" max="9" width="12" customWidth="1"/>
    <col min="10" max="10" width="8.85546875" customWidth="1"/>
    <col min="13" max="13" width="9.140625" customWidth="1"/>
  </cols>
  <sheetData>
    <row r="1" spans="2:11" ht="46.5" customHeight="1" thickBot="1" x14ac:dyDescent="0.3">
      <c r="J1" s="53" t="s">
        <v>38</v>
      </c>
      <c r="K1" s="53"/>
    </row>
    <row r="2" spans="2:11" ht="19.5" thickBot="1" x14ac:dyDescent="0.3">
      <c r="B2" s="46" t="s">
        <v>39</v>
      </c>
      <c r="C2" s="47"/>
      <c r="D2" s="47"/>
      <c r="E2" s="47"/>
      <c r="F2" s="47"/>
      <c r="G2" s="47"/>
      <c r="H2" s="47"/>
      <c r="I2" s="47"/>
      <c r="J2" s="47"/>
      <c r="K2" s="48"/>
    </row>
    <row r="3" spans="2:11" x14ac:dyDescent="0.25">
      <c r="B3" s="49"/>
      <c r="C3" s="50"/>
      <c r="D3" s="51" t="s">
        <v>40</v>
      </c>
      <c r="E3" s="52"/>
      <c r="F3" s="51" t="s">
        <v>41</v>
      </c>
      <c r="G3" s="52"/>
      <c r="H3" s="51" t="s">
        <v>42</v>
      </c>
      <c r="I3" s="52"/>
      <c r="J3" s="51" t="s">
        <v>42</v>
      </c>
      <c r="K3" s="52"/>
    </row>
    <row r="4" spans="2:11" ht="30" x14ac:dyDescent="0.25">
      <c r="B4" s="12" t="s">
        <v>0</v>
      </c>
      <c r="C4" s="13" t="s">
        <v>1</v>
      </c>
      <c r="D4" s="12" t="s">
        <v>2</v>
      </c>
      <c r="E4" s="14" t="s">
        <v>3</v>
      </c>
      <c r="F4" s="12" t="s">
        <v>2</v>
      </c>
      <c r="G4" s="14" t="s">
        <v>3</v>
      </c>
      <c r="H4" s="12" t="s">
        <v>2</v>
      </c>
      <c r="I4" s="14" t="s">
        <v>3</v>
      </c>
      <c r="J4" s="12" t="s">
        <v>2</v>
      </c>
      <c r="K4" s="14" t="s">
        <v>3</v>
      </c>
    </row>
    <row r="5" spans="2:11" ht="45" x14ac:dyDescent="0.25">
      <c r="B5" s="11" t="s">
        <v>10</v>
      </c>
      <c r="C5" s="19">
        <v>0.35</v>
      </c>
      <c r="D5" s="10">
        <v>0</v>
      </c>
      <c r="E5" s="2">
        <f t="shared" ref="E5:E11" si="0">(C5*D5)</f>
        <v>0</v>
      </c>
      <c r="F5" s="10">
        <v>0</v>
      </c>
      <c r="G5" s="2">
        <f t="shared" ref="G5:G11" si="1">(C5*F5)</f>
        <v>0</v>
      </c>
      <c r="H5" s="10">
        <v>0</v>
      </c>
      <c r="I5" s="2">
        <f t="shared" ref="I5:I11" si="2">(C5*H5)</f>
        <v>0</v>
      </c>
      <c r="J5" s="10">
        <v>0</v>
      </c>
      <c r="K5" s="2">
        <f t="shared" ref="K5:K11" si="3">(C5*J5)</f>
        <v>0</v>
      </c>
    </row>
    <row r="6" spans="2:11" ht="30" x14ac:dyDescent="0.25">
      <c r="B6" s="17" t="s">
        <v>11</v>
      </c>
      <c r="C6" s="19">
        <v>0.25</v>
      </c>
      <c r="D6" s="10">
        <v>0</v>
      </c>
      <c r="E6" s="2">
        <f t="shared" si="0"/>
        <v>0</v>
      </c>
      <c r="F6" s="10">
        <v>0</v>
      </c>
      <c r="G6" s="2">
        <f t="shared" si="1"/>
        <v>0</v>
      </c>
      <c r="H6" s="10">
        <v>0</v>
      </c>
      <c r="I6" s="2">
        <f t="shared" si="2"/>
        <v>0</v>
      </c>
      <c r="J6" s="10">
        <v>0</v>
      </c>
      <c r="K6" s="2">
        <f t="shared" si="3"/>
        <v>0</v>
      </c>
    </row>
    <row r="7" spans="2:11" ht="45" x14ac:dyDescent="0.25">
      <c r="B7" s="17" t="s">
        <v>12</v>
      </c>
      <c r="C7" s="19">
        <v>0.15</v>
      </c>
      <c r="D7" s="10">
        <v>0</v>
      </c>
      <c r="E7" s="2">
        <f t="shared" si="0"/>
        <v>0</v>
      </c>
      <c r="F7" s="10">
        <v>0</v>
      </c>
      <c r="G7" s="2">
        <f t="shared" si="1"/>
        <v>0</v>
      </c>
      <c r="H7" s="10">
        <v>0</v>
      </c>
      <c r="I7" s="2">
        <f t="shared" si="2"/>
        <v>0</v>
      </c>
      <c r="J7" s="10">
        <v>0</v>
      </c>
      <c r="K7" s="2">
        <f t="shared" si="3"/>
        <v>0</v>
      </c>
    </row>
    <row r="8" spans="2:11" ht="45" x14ac:dyDescent="0.25">
      <c r="B8" s="17" t="s">
        <v>13</v>
      </c>
      <c r="C8" s="19">
        <v>0.15</v>
      </c>
      <c r="D8" s="10">
        <v>0</v>
      </c>
      <c r="E8" s="2">
        <f t="shared" si="0"/>
        <v>0</v>
      </c>
      <c r="F8" s="10">
        <v>0</v>
      </c>
      <c r="G8" s="2">
        <f t="shared" si="1"/>
        <v>0</v>
      </c>
      <c r="H8" s="10">
        <v>0</v>
      </c>
      <c r="I8" s="2">
        <f t="shared" si="2"/>
        <v>0</v>
      </c>
      <c r="J8" s="10">
        <v>0</v>
      </c>
      <c r="K8" s="2">
        <f t="shared" si="3"/>
        <v>0</v>
      </c>
    </row>
    <row r="9" spans="2:11" ht="45" x14ac:dyDescent="0.25">
      <c r="B9" s="17" t="s">
        <v>14</v>
      </c>
      <c r="C9" s="19">
        <v>0.1</v>
      </c>
      <c r="D9" s="10">
        <v>0</v>
      </c>
      <c r="E9" s="2">
        <f t="shared" si="0"/>
        <v>0</v>
      </c>
      <c r="F9" s="10">
        <v>0</v>
      </c>
      <c r="G9" s="2">
        <f t="shared" si="1"/>
        <v>0</v>
      </c>
      <c r="H9" s="10">
        <v>0</v>
      </c>
      <c r="I9" s="2">
        <f t="shared" si="2"/>
        <v>0</v>
      </c>
      <c r="J9" s="10">
        <v>0</v>
      </c>
      <c r="K9" s="2">
        <f t="shared" si="3"/>
        <v>0</v>
      </c>
    </row>
    <row r="10" spans="2:11" ht="45" customHeight="1" x14ac:dyDescent="0.25">
      <c r="B10" s="18" t="s">
        <v>25</v>
      </c>
      <c r="C10" s="19"/>
      <c r="D10" s="10"/>
      <c r="E10" s="9">
        <f t="shared" si="0"/>
        <v>0</v>
      </c>
      <c r="F10" s="10"/>
      <c r="G10" s="9">
        <f t="shared" si="1"/>
        <v>0</v>
      </c>
      <c r="H10" s="10"/>
      <c r="I10" s="9">
        <f t="shared" si="2"/>
        <v>0</v>
      </c>
      <c r="J10" s="10"/>
      <c r="K10" s="9">
        <f t="shared" si="3"/>
        <v>0</v>
      </c>
    </row>
    <row r="11" spans="2:11" ht="41.25" customHeight="1" x14ac:dyDescent="0.25">
      <c r="B11" s="18" t="s">
        <v>26</v>
      </c>
      <c r="C11" s="19"/>
      <c r="D11" s="10"/>
      <c r="E11" s="9">
        <f t="shared" si="0"/>
        <v>0</v>
      </c>
      <c r="F11" s="10"/>
      <c r="G11" s="9">
        <f t="shared" si="1"/>
        <v>0</v>
      </c>
      <c r="H11" s="10"/>
      <c r="I11" s="9">
        <f t="shared" si="2"/>
        <v>0</v>
      </c>
      <c r="J11" s="10"/>
      <c r="K11" s="9">
        <f t="shared" si="3"/>
        <v>0</v>
      </c>
    </row>
    <row r="12" spans="2:11" ht="15.75" thickBot="1" x14ac:dyDescent="0.3">
      <c r="B12" s="16" t="s">
        <v>7</v>
      </c>
      <c r="C12" s="15">
        <f>SUM(C5, C6, C7, C8, C9, C10, C11)</f>
        <v>1</v>
      </c>
      <c r="D12" s="3"/>
      <c r="E12" s="4">
        <f>SUM(E5, E6, E7, E8, E9, E10, E11)</f>
        <v>0</v>
      </c>
      <c r="F12" s="3"/>
      <c r="G12" s="4">
        <f>SUM(G5, G6, G7, G8, G9, G10, G11)</f>
        <v>0</v>
      </c>
      <c r="H12" s="3"/>
      <c r="I12" s="4">
        <f>SUM(I5, I6, I7, I8, I9, I10, I11)</f>
        <v>0</v>
      </c>
      <c r="J12" s="3"/>
      <c r="K12" s="4">
        <f>SUM(K5, K6, K7, K8, K9, K10, K11)</f>
        <v>0</v>
      </c>
    </row>
    <row r="13" spans="2:11" ht="7.5" customHeight="1" thickBot="1" x14ac:dyDescent="0.3"/>
    <row r="14" spans="2:11" x14ac:dyDescent="0.25">
      <c r="B14" s="63" t="s">
        <v>17</v>
      </c>
      <c r="C14" s="66" t="s">
        <v>18</v>
      </c>
      <c r="D14" s="67"/>
      <c r="E14" s="67"/>
      <c r="F14" s="67"/>
      <c r="G14" s="68"/>
      <c r="H14" s="96" t="s">
        <v>8</v>
      </c>
      <c r="I14" s="97"/>
      <c r="J14" s="97"/>
      <c r="K14" s="98"/>
    </row>
    <row r="15" spans="2:11" ht="15.75" thickBot="1" x14ac:dyDescent="0.3">
      <c r="B15" s="65"/>
      <c r="C15" s="72"/>
      <c r="D15" s="73"/>
      <c r="E15" s="73"/>
      <c r="F15" s="73"/>
      <c r="G15" s="74"/>
      <c r="H15" s="99"/>
      <c r="I15" s="100"/>
      <c r="J15" s="100"/>
      <c r="K15" s="101"/>
    </row>
    <row r="16" spans="2:11" ht="7.5" customHeight="1" thickBot="1" x14ac:dyDescent="0.3"/>
    <row r="17" spans="2:11" x14ac:dyDescent="0.25">
      <c r="B17" s="63" t="s">
        <v>15</v>
      </c>
      <c r="C17" s="66" t="s">
        <v>19</v>
      </c>
      <c r="D17" s="67"/>
      <c r="E17" s="67"/>
      <c r="F17" s="67"/>
      <c r="G17" s="68"/>
      <c r="H17" s="102" t="s">
        <v>20</v>
      </c>
      <c r="I17" s="103"/>
      <c r="J17" s="103"/>
      <c r="K17" s="104"/>
    </row>
    <row r="18" spans="2:11" x14ac:dyDescent="0.25">
      <c r="B18" s="64"/>
      <c r="C18" s="69"/>
      <c r="D18" s="70"/>
      <c r="E18" s="70"/>
      <c r="F18" s="70"/>
      <c r="G18" s="71"/>
      <c r="H18" s="105"/>
      <c r="I18" s="106"/>
      <c r="J18" s="106"/>
      <c r="K18" s="107"/>
    </row>
    <row r="19" spans="2:11" ht="15.75" thickBot="1" x14ac:dyDescent="0.3">
      <c r="B19" s="65"/>
      <c r="C19" s="72"/>
      <c r="D19" s="73"/>
      <c r="E19" s="73"/>
      <c r="F19" s="73"/>
      <c r="G19" s="74"/>
      <c r="H19" s="108"/>
      <c r="I19" s="109"/>
      <c r="J19" s="109"/>
      <c r="K19" s="110"/>
    </row>
    <row r="20" spans="2:11" ht="8.25" customHeight="1" thickBot="1" x14ac:dyDescent="0.3"/>
    <row r="21" spans="2:11" x14ac:dyDescent="0.25">
      <c r="B21" s="63" t="s">
        <v>22</v>
      </c>
      <c r="C21" s="66" t="s">
        <v>21</v>
      </c>
      <c r="D21" s="67"/>
      <c r="E21" s="68"/>
      <c r="F21" s="66" t="s">
        <v>23</v>
      </c>
      <c r="G21" s="67"/>
      <c r="H21" s="68"/>
      <c r="I21" s="75" t="s">
        <v>9</v>
      </c>
      <c r="J21" s="76"/>
      <c r="K21" s="77"/>
    </row>
    <row r="22" spans="2:11" x14ac:dyDescent="0.25">
      <c r="B22" s="64"/>
      <c r="C22" s="69"/>
      <c r="D22" s="70"/>
      <c r="E22" s="71"/>
      <c r="F22" s="69"/>
      <c r="G22" s="70"/>
      <c r="H22" s="71"/>
      <c r="I22" s="78"/>
      <c r="J22" s="79"/>
      <c r="K22" s="80"/>
    </row>
    <row r="23" spans="2:11" x14ac:dyDescent="0.25">
      <c r="B23" s="64"/>
      <c r="C23" s="69"/>
      <c r="D23" s="70"/>
      <c r="E23" s="71"/>
      <c r="F23" s="69"/>
      <c r="G23" s="70"/>
      <c r="H23" s="71"/>
      <c r="I23" s="78"/>
      <c r="J23" s="79"/>
      <c r="K23" s="80"/>
    </row>
    <row r="24" spans="2:11" x14ac:dyDescent="0.25">
      <c r="B24" s="64"/>
      <c r="C24" s="69"/>
      <c r="D24" s="70"/>
      <c r="E24" s="71"/>
      <c r="F24" s="69"/>
      <c r="G24" s="70"/>
      <c r="H24" s="71"/>
      <c r="I24" s="81"/>
      <c r="J24" s="82"/>
      <c r="K24" s="83"/>
    </row>
    <row r="25" spans="2:11" x14ac:dyDescent="0.25">
      <c r="B25" s="64"/>
      <c r="C25" s="69"/>
      <c r="D25" s="70"/>
      <c r="E25" s="71"/>
      <c r="F25" s="69"/>
      <c r="G25" s="70"/>
      <c r="H25" s="71"/>
      <c r="I25" s="84" t="s">
        <v>24</v>
      </c>
      <c r="J25" s="85"/>
      <c r="K25" s="86"/>
    </row>
    <row r="26" spans="2:11" x14ac:dyDescent="0.25">
      <c r="B26" s="64"/>
      <c r="C26" s="69"/>
      <c r="D26" s="70"/>
      <c r="E26" s="71"/>
      <c r="F26" s="69"/>
      <c r="G26" s="70"/>
      <c r="H26" s="71"/>
      <c r="I26" s="78"/>
      <c r="J26" s="79"/>
      <c r="K26" s="80"/>
    </row>
    <row r="27" spans="2:11" ht="15.75" thickBot="1" x14ac:dyDescent="0.3">
      <c r="B27" s="65"/>
      <c r="C27" s="72"/>
      <c r="D27" s="73"/>
      <c r="E27" s="74"/>
      <c r="F27" s="72"/>
      <c r="G27" s="73"/>
      <c r="H27" s="74"/>
      <c r="I27" s="87"/>
      <c r="J27" s="88"/>
      <c r="K27" s="89"/>
    </row>
    <row r="28" spans="2:11" ht="7.5" customHeight="1" thickBot="1" x14ac:dyDescent="0.3"/>
    <row r="29" spans="2:11" x14ac:dyDescent="0.25">
      <c r="B29" s="90" t="s">
        <v>28</v>
      </c>
      <c r="C29" s="91"/>
      <c r="D29" s="91"/>
      <c r="E29" s="91"/>
      <c r="F29" s="91"/>
      <c r="G29" s="91"/>
      <c r="H29" s="91"/>
      <c r="I29" s="91"/>
      <c r="J29" s="91"/>
      <c r="K29" s="92"/>
    </row>
    <row r="30" spans="2:11" ht="15.75" thickBot="1" x14ac:dyDescent="0.3">
      <c r="B30" s="93"/>
      <c r="C30" s="94"/>
      <c r="D30" s="94"/>
      <c r="E30" s="94"/>
      <c r="F30" s="94"/>
      <c r="G30" s="94"/>
      <c r="H30" s="94"/>
      <c r="I30" s="94"/>
      <c r="J30" s="94"/>
      <c r="K30" s="95"/>
    </row>
    <row r="31" spans="2:11" x14ac:dyDescent="0.25">
      <c r="B31" s="54" t="s">
        <v>29</v>
      </c>
      <c r="C31" s="55"/>
      <c r="D31" s="55"/>
      <c r="E31" s="55"/>
      <c r="F31" s="55"/>
      <c r="G31" s="55"/>
      <c r="H31" s="55"/>
      <c r="I31" s="55"/>
      <c r="J31" s="55"/>
      <c r="K31" s="56"/>
    </row>
    <row r="32" spans="2:11" ht="12" customHeight="1" x14ac:dyDescent="0.25">
      <c r="B32" s="57"/>
      <c r="C32" s="58"/>
      <c r="D32" s="58"/>
      <c r="E32" s="58"/>
      <c r="F32" s="58"/>
      <c r="G32" s="58"/>
      <c r="H32" s="58"/>
      <c r="I32" s="58"/>
      <c r="J32" s="58"/>
      <c r="K32" s="59"/>
    </row>
    <row r="33" spans="2:11" ht="11.25" customHeight="1" thickBot="1" x14ac:dyDescent="0.3">
      <c r="B33" s="60"/>
      <c r="C33" s="61"/>
      <c r="D33" s="61"/>
      <c r="E33" s="61"/>
      <c r="F33" s="61"/>
      <c r="G33" s="61"/>
      <c r="H33" s="61"/>
      <c r="I33" s="61"/>
      <c r="J33" s="61"/>
      <c r="K33" s="62"/>
    </row>
    <row r="34" spans="2:11" ht="11.25" customHeight="1" x14ac:dyDescent="0.25">
      <c r="B34" s="54" t="s">
        <v>27</v>
      </c>
      <c r="C34" s="55"/>
      <c r="D34" s="55"/>
      <c r="E34" s="55"/>
      <c r="F34" s="55"/>
      <c r="G34" s="55"/>
      <c r="H34" s="55"/>
      <c r="I34" s="55"/>
      <c r="J34" s="55"/>
      <c r="K34" s="56"/>
    </row>
    <row r="35" spans="2:11" x14ac:dyDescent="0.25">
      <c r="B35" s="57"/>
      <c r="C35" s="58"/>
      <c r="D35" s="58"/>
      <c r="E35" s="58"/>
      <c r="F35" s="58"/>
      <c r="G35" s="58"/>
      <c r="H35" s="58"/>
      <c r="I35" s="58"/>
      <c r="J35" s="58"/>
      <c r="K35" s="59"/>
    </row>
    <row r="36" spans="2:11" ht="5.25" customHeight="1" thickBot="1" x14ac:dyDescent="0.3"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spans="2:11" x14ac:dyDescent="0.25">
      <c r="B37" s="54" t="s">
        <v>30</v>
      </c>
      <c r="C37" s="55"/>
      <c r="D37" s="55"/>
      <c r="E37" s="55"/>
      <c r="F37" s="55"/>
      <c r="G37" s="55"/>
      <c r="H37" s="55"/>
      <c r="I37" s="55"/>
      <c r="J37" s="55"/>
      <c r="K37" s="56"/>
    </row>
    <row r="38" spans="2:11" x14ac:dyDescent="0.25">
      <c r="B38" s="57"/>
      <c r="C38" s="58"/>
      <c r="D38" s="58"/>
      <c r="E38" s="58"/>
      <c r="F38" s="58"/>
      <c r="G38" s="58"/>
      <c r="H38" s="58"/>
      <c r="I38" s="58"/>
      <c r="J38" s="58"/>
      <c r="K38" s="59"/>
    </row>
    <row r="39" spans="2:11" ht="8.25" customHeight="1" thickBot="1" x14ac:dyDescent="0.3">
      <c r="B39" s="60"/>
      <c r="C39" s="61"/>
      <c r="D39" s="61"/>
      <c r="E39" s="61"/>
      <c r="F39" s="61"/>
      <c r="G39" s="61"/>
      <c r="H39" s="61"/>
      <c r="I39" s="61"/>
      <c r="J39" s="61"/>
      <c r="K39" s="62"/>
    </row>
  </sheetData>
  <mergeCells count="22">
    <mergeCell ref="J1:K1"/>
    <mergeCell ref="B31:K33"/>
    <mergeCell ref="B34:K36"/>
    <mergeCell ref="B37:K39"/>
    <mergeCell ref="B21:B27"/>
    <mergeCell ref="C21:E27"/>
    <mergeCell ref="F21:H27"/>
    <mergeCell ref="I21:K24"/>
    <mergeCell ref="I25:K27"/>
    <mergeCell ref="B29:K30"/>
    <mergeCell ref="B14:B15"/>
    <mergeCell ref="C14:G15"/>
    <mergeCell ref="H14:K15"/>
    <mergeCell ref="B17:B19"/>
    <mergeCell ref="C17:G19"/>
    <mergeCell ref="H17:K19"/>
    <mergeCell ref="B2:K2"/>
    <mergeCell ref="B3:C3"/>
    <mergeCell ref="D3:E3"/>
    <mergeCell ref="F3:G3"/>
    <mergeCell ref="H3:I3"/>
    <mergeCell ref="J3:K3"/>
  </mergeCells>
  <pageMargins left="0.7" right="0.7" top="0.75" bottom="0.75" header="0.3" footer="0.3"/>
  <ignoredErrors>
    <ignoredError sqref="B10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5"/>
  <sheetViews>
    <sheetView tabSelected="1" zoomScaleNormal="100" workbookViewId="0">
      <selection activeCell="F10" sqref="F10"/>
    </sheetView>
  </sheetViews>
  <sheetFormatPr defaultRowHeight="15" x14ac:dyDescent="0.25"/>
  <cols>
    <col min="1" max="1" width="3.42578125" customWidth="1"/>
    <col min="2" max="2" width="68.85546875" customWidth="1"/>
    <col min="3" max="3" width="11.5703125" customWidth="1"/>
    <col min="4" max="4" width="9.140625" customWidth="1"/>
    <col min="5" max="5" width="9.28515625" customWidth="1"/>
    <col min="6" max="6" width="9.140625" customWidth="1"/>
    <col min="7" max="7" width="8.7109375" customWidth="1"/>
    <col min="8" max="8" width="9.5703125" customWidth="1"/>
    <col min="9" max="9" width="8.5703125" customWidth="1"/>
    <col min="10" max="10" width="8.85546875" customWidth="1"/>
    <col min="11" max="11" width="8.7109375" customWidth="1"/>
    <col min="12" max="12" width="7" customWidth="1"/>
    <col min="15" max="15" width="6.42578125" customWidth="1"/>
    <col min="16" max="16" width="8.28515625" customWidth="1"/>
    <col min="17" max="17" width="6.42578125" customWidth="1"/>
    <col min="18" max="18" width="6.7109375" customWidth="1"/>
    <col min="19" max="19" width="7.7109375" customWidth="1"/>
    <col min="20" max="20" width="6.28515625" customWidth="1"/>
    <col min="22" max="22" width="6.42578125" customWidth="1"/>
    <col min="23" max="23" width="7.85546875" customWidth="1"/>
    <col min="24" max="24" width="7.7109375" customWidth="1"/>
  </cols>
  <sheetData>
    <row r="1" spans="2:16" ht="15.75" thickBot="1" x14ac:dyDescent="0.3"/>
    <row r="2" spans="2:16" ht="30" customHeight="1" thickBot="1" x14ac:dyDescent="0.3">
      <c r="B2" s="43" t="s">
        <v>32</v>
      </c>
      <c r="C2" s="45" t="s">
        <v>46</v>
      </c>
      <c r="D2" s="39"/>
      <c r="E2" s="39"/>
      <c r="F2" s="39"/>
      <c r="G2" s="39"/>
      <c r="H2" s="39"/>
      <c r="I2" s="39"/>
      <c r="J2" s="39"/>
      <c r="K2" s="40"/>
    </row>
    <row r="3" spans="2:16" x14ac:dyDescent="0.25">
      <c r="B3" s="114"/>
      <c r="C3" s="115"/>
      <c r="D3" s="111" t="s">
        <v>50</v>
      </c>
      <c r="E3" s="112"/>
      <c r="F3" s="111" t="str">
        <f>+'EXAMPLE SCORING'!F3:G3</f>
        <v>Nutri-Serve</v>
      </c>
      <c r="G3" s="112"/>
      <c r="H3" s="111" t="s">
        <v>51</v>
      </c>
      <c r="I3" s="112"/>
      <c r="J3" s="111" t="s">
        <v>52</v>
      </c>
      <c r="K3" s="112"/>
    </row>
    <row r="4" spans="2:16" x14ac:dyDescent="0.25">
      <c r="B4" s="35"/>
      <c r="C4" s="36"/>
      <c r="D4" s="41"/>
      <c r="E4" s="42"/>
      <c r="F4" s="41"/>
      <c r="G4" s="42"/>
      <c r="H4" s="41"/>
      <c r="I4" s="42"/>
      <c r="J4" s="41"/>
      <c r="K4" s="42"/>
    </row>
    <row r="5" spans="2:16" ht="30" x14ac:dyDescent="0.2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13" t="s">
        <v>31</v>
      </c>
      <c r="N5" s="106"/>
      <c r="O5" s="106"/>
      <c r="P5" s="106"/>
    </row>
    <row r="6" spans="2:16" ht="90" x14ac:dyDescent="0.25">
      <c r="B6" s="11" t="s">
        <v>44</v>
      </c>
      <c r="C6" s="19">
        <v>0.3</v>
      </c>
      <c r="D6" s="10">
        <v>3</v>
      </c>
      <c r="E6" s="2">
        <f>(C6*D6)</f>
        <v>0.89999999999999991</v>
      </c>
      <c r="F6" s="10">
        <v>4</v>
      </c>
      <c r="G6" s="2">
        <f t="shared" ref="G6:G12" si="0">(C6*F6)</f>
        <v>1.2</v>
      </c>
      <c r="H6" s="10">
        <v>5</v>
      </c>
      <c r="I6" s="2">
        <f t="shared" ref="I6:I12" si="1">(C6*H6)</f>
        <v>1.5</v>
      </c>
      <c r="J6" s="10">
        <v>2</v>
      </c>
      <c r="K6" s="2">
        <f t="shared" ref="K6:K12" si="2">(C6*J6)</f>
        <v>0.6</v>
      </c>
      <c r="M6" s="106"/>
      <c r="N6" s="106"/>
      <c r="O6" s="106"/>
      <c r="P6" s="106"/>
    </row>
    <row r="7" spans="2:16" ht="48" customHeight="1" x14ac:dyDescent="0.25">
      <c r="B7" s="29" t="s">
        <v>47</v>
      </c>
      <c r="C7" s="19">
        <v>0.25</v>
      </c>
      <c r="D7" s="10">
        <v>4</v>
      </c>
      <c r="E7" s="2">
        <f t="shared" ref="E7:E12" si="3">(C7*D7)</f>
        <v>1</v>
      </c>
      <c r="F7" s="10">
        <v>5</v>
      </c>
      <c r="G7" s="2">
        <f t="shared" si="0"/>
        <v>1.25</v>
      </c>
      <c r="H7" s="10">
        <v>1</v>
      </c>
      <c r="I7" s="2">
        <f t="shared" si="1"/>
        <v>0.25</v>
      </c>
      <c r="J7" s="10">
        <v>3</v>
      </c>
      <c r="K7" s="2">
        <f t="shared" si="2"/>
        <v>0.75</v>
      </c>
    </row>
    <row r="8" spans="2:16" ht="47.25" customHeight="1" x14ac:dyDescent="0.25">
      <c r="B8" s="29" t="s">
        <v>48</v>
      </c>
      <c r="C8" s="19">
        <v>0.1</v>
      </c>
      <c r="D8" s="10">
        <v>4</v>
      </c>
      <c r="E8" s="2">
        <f t="shared" si="3"/>
        <v>0.4</v>
      </c>
      <c r="F8" s="10">
        <v>3</v>
      </c>
      <c r="G8" s="2">
        <f t="shared" si="0"/>
        <v>0.30000000000000004</v>
      </c>
      <c r="H8" s="10">
        <v>4</v>
      </c>
      <c r="I8" s="2">
        <f t="shared" si="1"/>
        <v>0.4</v>
      </c>
      <c r="J8" s="10">
        <v>4</v>
      </c>
      <c r="K8" s="2">
        <f t="shared" si="2"/>
        <v>0.4</v>
      </c>
    </row>
    <row r="9" spans="2:16" ht="48" customHeight="1" x14ac:dyDescent="0.25">
      <c r="B9" s="29" t="s">
        <v>49</v>
      </c>
      <c r="C9" s="19">
        <v>0.1</v>
      </c>
      <c r="D9" s="10">
        <v>3</v>
      </c>
      <c r="E9" s="2">
        <f t="shared" si="3"/>
        <v>0.30000000000000004</v>
      </c>
      <c r="F9" s="10">
        <v>4</v>
      </c>
      <c r="G9" s="2">
        <f t="shared" si="0"/>
        <v>0.4</v>
      </c>
      <c r="H9" s="10">
        <v>3</v>
      </c>
      <c r="I9" s="2">
        <f t="shared" si="1"/>
        <v>0.30000000000000004</v>
      </c>
      <c r="J9" s="10">
        <v>3</v>
      </c>
      <c r="K9" s="2">
        <f t="shared" si="2"/>
        <v>0.30000000000000004</v>
      </c>
    </row>
    <row r="10" spans="2:16" ht="45" customHeight="1" x14ac:dyDescent="0.25">
      <c r="B10" s="29" t="s">
        <v>43</v>
      </c>
      <c r="C10" s="19">
        <v>0.25</v>
      </c>
      <c r="D10" s="10">
        <v>1</v>
      </c>
      <c r="E10" s="2">
        <f t="shared" si="3"/>
        <v>0.25</v>
      </c>
      <c r="F10" s="10">
        <v>5</v>
      </c>
      <c r="G10" s="2">
        <f t="shared" si="0"/>
        <v>1.25</v>
      </c>
      <c r="H10" s="10">
        <v>2</v>
      </c>
      <c r="I10" s="2">
        <f t="shared" si="1"/>
        <v>0.5</v>
      </c>
      <c r="J10" s="10">
        <v>4</v>
      </c>
      <c r="K10" s="2">
        <f t="shared" si="2"/>
        <v>1</v>
      </c>
      <c r="M10" s="6"/>
      <c r="N10" s="6"/>
      <c r="O10" s="6"/>
    </row>
    <row r="11" spans="2:16" ht="45" customHeight="1" x14ac:dyDescent="0.25">
      <c r="B11" s="18" t="s">
        <v>25</v>
      </c>
      <c r="C11" s="19"/>
      <c r="D11" s="10"/>
      <c r="E11" s="9">
        <f t="shared" si="3"/>
        <v>0</v>
      </c>
      <c r="F11" s="10"/>
      <c r="G11" s="9">
        <f t="shared" si="0"/>
        <v>0</v>
      </c>
      <c r="H11" s="10"/>
      <c r="I11" s="9">
        <f t="shared" si="1"/>
        <v>0</v>
      </c>
      <c r="J11" s="10"/>
      <c r="K11" s="9">
        <f t="shared" si="2"/>
        <v>0</v>
      </c>
      <c r="M11" s="6"/>
      <c r="N11" s="6"/>
      <c r="O11" s="6"/>
    </row>
    <row r="12" spans="2:16" ht="45" customHeight="1" x14ac:dyDescent="0.25">
      <c r="B12" s="18" t="s">
        <v>26</v>
      </c>
      <c r="C12" s="19"/>
      <c r="D12" s="10"/>
      <c r="E12" s="9">
        <f t="shared" si="3"/>
        <v>0</v>
      </c>
      <c r="F12" s="10"/>
      <c r="G12" s="9">
        <f t="shared" si="0"/>
        <v>0</v>
      </c>
      <c r="H12" s="10"/>
      <c r="I12" s="9">
        <f t="shared" si="1"/>
        <v>0</v>
      </c>
      <c r="J12" s="10"/>
      <c r="K12" s="9">
        <f t="shared" si="2"/>
        <v>0</v>
      </c>
      <c r="M12" s="6"/>
      <c r="N12" s="6"/>
      <c r="O12" s="6"/>
    </row>
    <row r="13" spans="2:16" ht="30" customHeight="1" thickBot="1" x14ac:dyDescent="0.3">
      <c r="B13" s="16" t="s">
        <v>7</v>
      </c>
      <c r="C13" s="15">
        <f>SUM(C6, C7, C8, C9, C10, C11, C12)</f>
        <v>1</v>
      </c>
      <c r="D13" s="3"/>
      <c r="E13" s="4">
        <f>SUM(E6, E7, E8, E9, E10, E11, E12)</f>
        <v>2.8499999999999996</v>
      </c>
      <c r="F13" s="3"/>
      <c r="G13" s="4">
        <f>SUM(G6, G7, G8, G9, G10, G11, G12)</f>
        <v>4.4000000000000004</v>
      </c>
      <c r="H13" s="3"/>
      <c r="I13" s="4">
        <f>SUM(I6, I7, I8, I9, I10, I11, I12)</f>
        <v>2.95</v>
      </c>
      <c r="J13" s="3"/>
      <c r="K13" s="4">
        <f>SUM(K6, K7, K8, K9, K10, K11, K12)</f>
        <v>3.05</v>
      </c>
    </row>
    <row r="14" spans="2:16" ht="12.75" customHeight="1" thickBot="1" x14ac:dyDescent="0.3"/>
    <row r="15" spans="2:16" x14ac:dyDescent="0.25">
      <c r="B15" s="90" t="s">
        <v>28</v>
      </c>
      <c r="C15" s="91"/>
      <c r="D15" s="91"/>
      <c r="E15" s="91"/>
      <c r="F15" s="91"/>
      <c r="G15" s="91"/>
      <c r="H15" s="91"/>
      <c r="I15" s="91"/>
      <c r="J15" s="91"/>
      <c r="K15" s="92"/>
    </row>
    <row r="16" spans="2:16" ht="15.75" thickBot="1" x14ac:dyDescent="0.3">
      <c r="B16" s="93"/>
      <c r="C16" s="94"/>
      <c r="D16" s="94"/>
      <c r="E16" s="94"/>
      <c r="F16" s="94"/>
      <c r="G16" s="94"/>
      <c r="H16" s="94"/>
      <c r="I16" s="94"/>
      <c r="J16" s="94"/>
      <c r="K16" s="95"/>
    </row>
    <row r="17" spans="2:11" x14ac:dyDescent="0.25">
      <c r="B17" s="54" t="s">
        <v>29</v>
      </c>
      <c r="C17" s="55"/>
      <c r="D17" s="55"/>
      <c r="E17" s="55"/>
      <c r="F17" s="55"/>
      <c r="G17" s="55"/>
      <c r="H17" s="55"/>
      <c r="I17" s="55"/>
      <c r="J17" s="55"/>
      <c r="K17" s="56"/>
    </row>
    <row r="18" spans="2:11" ht="9" customHeight="1" x14ac:dyDescent="0.25">
      <c r="B18" s="57"/>
      <c r="C18" s="58"/>
      <c r="D18" s="58"/>
      <c r="E18" s="58"/>
      <c r="F18" s="58"/>
      <c r="G18" s="58"/>
      <c r="H18" s="58"/>
      <c r="I18" s="58"/>
      <c r="J18" s="58"/>
      <c r="K18" s="59"/>
    </row>
    <row r="19" spans="2:11" ht="15.75" thickBot="1" x14ac:dyDescent="0.3">
      <c r="B19" s="60"/>
      <c r="C19" s="61"/>
      <c r="D19" s="61"/>
      <c r="E19" s="61"/>
      <c r="F19" s="61"/>
      <c r="G19" s="61"/>
      <c r="H19" s="61"/>
      <c r="I19" s="61"/>
      <c r="J19" s="61"/>
      <c r="K19" s="62"/>
    </row>
    <row r="20" spans="2:11" x14ac:dyDescent="0.25">
      <c r="B20" s="54" t="s">
        <v>27</v>
      </c>
      <c r="C20" s="55"/>
      <c r="D20" s="55"/>
      <c r="E20" s="55"/>
      <c r="F20" s="55"/>
      <c r="G20" s="55"/>
      <c r="H20" s="55"/>
      <c r="I20" s="55"/>
      <c r="J20" s="55"/>
      <c r="K20" s="56"/>
    </row>
    <row r="21" spans="2:11" x14ac:dyDescent="0.25">
      <c r="B21" s="57"/>
      <c r="C21" s="58"/>
      <c r="D21" s="58"/>
      <c r="E21" s="58"/>
      <c r="F21" s="58"/>
      <c r="G21" s="58"/>
      <c r="H21" s="58"/>
      <c r="I21" s="58"/>
      <c r="J21" s="58"/>
      <c r="K21" s="59"/>
    </row>
    <row r="22" spans="2:11" ht="15.75" thickBot="1" x14ac:dyDescent="0.3">
      <c r="B22" s="60"/>
      <c r="C22" s="61"/>
      <c r="D22" s="61"/>
      <c r="E22" s="61"/>
      <c r="F22" s="61"/>
      <c r="G22" s="61"/>
      <c r="H22" s="61"/>
      <c r="I22" s="61"/>
      <c r="J22" s="61"/>
      <c r="K22" s="62"/>
    </row>
    <row r="23" spans="2:11" x14ac:dyDescent="0.25">
      <c r="B23" s="54" t="s">
        <v>30</v>
      </c>
      <c r="C23" s="55"/>
      <c r="D23" s="55"/>
      <c r="E23" s="55"/>
      <c r="F23" s="55"/>
      <c r="G23" s="55"/>
      <c r="H23" s="55"/>
      <c r="I23" s="55"/>
      <c r="J23" s="55"/>
      <c r="K23" s="56"/>
    </row>
    <row r="24" spans="2:11" x14ac:dyDescent="0.25">
      <c r="B24" s="57"/>
      <c r="C24" s="58"/>
      <c r="D24" s="58"/>
      <c r="E24" s="58"/>
      <c r="F24" s="58"/>
      <c r="G24" s="58"/>
      <c r="H24" s="58"/>
      <c r="I24" s="58"/>
      <c r="J24" s="58"/>
      <c r="K24" s="59"/>
    </row>
    <row r="25" spans="2:11" ht="10.5" customHeight="1" thickBot="1" x14ac:dyDescent="0.3">
      <c r="B25" s="60"/>
      <c r="C25" s="61"/>
      <c r="D25" s="61"/>
      <c r="E25" s="61"/>
      <c r="F25" s="61"/>
      <c r="G25" s="61"/>
      <c r="H25" s="61"/>
      <c r="I25" s="61"/>
      <c r="J25" s="61"/>
      <c r="K25" s="62"/>
    </row>
  </sheetData>
  <mergeCells count="10">
    <mergeCell ref="M5:P6"/>
    <mergeCell ref="B3:C3"/>
    <mergeCell ref="D3:E3"/>
    <mergeCell ref="F3:G3"/>
    <mergeCell ref="H3:I3"/>
    <mergeCell ref="B15:K16"/>
    <mergeCell ref="B17:K19"/>
    <mergeCell ref="B20:K22"/>
    <mergeCell ref="B23:K25"/>
    <mergeCell ref="J3:K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26"/>
  <sheetViews>
    <sheetView topLeftCell="B1" zoomScaleNormal="100" workbookViewId="0">
      <selection activeCell="D11" sqref="D11"/>
    </sheetView>
  </sheetViews>
  <sheetFormatPr defaultRowHeight="15" x14ac:dyDescent="0.25"/>
  <cols>
    <col min="1" max="1" width="4.140625" customWidth="1"/>
    <col min="2" max="2" width="68.85546875" customWidth="1"/>
    <col min="3" max="3" width="12.7109375" customWidth="1"/>
    <col min="4" max="4" width="9.85546875" customWidth="1"/>
    <col min="5" max="5" width="9.28515625" customWidth="1"/>
    <col min="6" max="6" width="8.7109375" customWidth="1"/>
    <col min="7" max="7" width="10.140625" customWidth="1"/>
    <col min="8" max="8" width="8.85546875" customWidth="1"/>
    <col min="9" max="9" width="9" customWidth="1"/>
    <col min="10" max="10" width="9.140625" customWidth="1"/>
    <col min="11" max="11" width="9.28515625" customWidth="1"/>
    <col min="12" max="12" width="7.42578125" customWidth="1"/>
    <col min="15" max="15" width="8" customWidth="1"/>
    <col min="16" max="16" width="5.7109375" customWidth="1"/>
    <col min="17" max="17" width="6.140625" customWidth="1"/>
    <col min="18" max="18" width="6" customWidth="1"/>
    <col min="19" max="19" width="8.85546875" customWidth="1"/>
    <col min="20" max="20" width="7.85546875" customWidth="1"/>
    <col min="22" max="22" width="8" customWidth="1"/>
    <col min="24" max="24" width="16.140625" customWidth="1"/>
  </cols>
  <sheetData>
    <row r="1" spans="2:16" ht="15.75" thickBot="1" x14ac:dyDescent="0.3"/>
    <row r="2" spans="2:16" ht="30.75" customHeight="1" thickBot="1" x14ac:dyDescent="0.3">
      <c r="B2" s="43" t="s">
        <v>33</v>
      </c>
      <c r="C2" s="44" t="s">
        <v>53</v>
      </c>
      <c r="D2" s="39"/>
      <c r="E2" s="39"/>
      <c r="F2" s="39"/>
      <c r="G2" s="39"/>
      <c r="H2" s="39"/>
      <c r="I2" s="39"/>
      <c r="J2" s="39"/>
      <c r="K2" s="40"/>
    </row>
    <row r="3" spans="2:16" x14ac:dyDescent="0.25">
      <c r="B3" s="49"/>
      <c r="C3" s="50"/>
      <c r="D3" s="111" t="str">
        <f>+'Evaluator #1'!D3:E3</f>
        <v>Whitson</v>
      </c>
      <c r="E3" s="112"/>
      <c r="F3" s="111" t="str">
        <f>+'Evaluator #1'!F3:G3</f>
        <v>Nutri-Serve</v>
      </c>
      <c r="G3" s="112"/>
      <c r="H3" s="111" t="str">
        <f>+'Evaluator #1'!H3:I3</f>
        <v>SFE</v>
      </c>
      <c r="I3" s="112"/>
      <c r="J3" s="111" t="str">
        <f>+'Evaluator #1'!J3:K3</f>
        <v>Chartwells</v>
      </c>
      <c r="K3" s="112"/>
    </row>
    <row r="4" spans="2:16" x14ac:dyDescent="0.25">
      <c r="B4" s="33"/>
      <c r="C4" s="34"/>
      <c r="D4" s="41"/>
      <c r="E4" s="42"/>
      <c r="F4" s="41"/>
      <c r="G4" s="42"/>
      <c r="H4" s="41"/>
      <c r="I4" s="42"/>
      <c r="J4" s="41"/>
      <c r="K4" s="42"/>
    </row>
    <row r="5" spans="2:16" ht="30" customHeight="1" x14ac:dyDescent="0.2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13" t="s">
        <v>37</v>
      </c>
      <c r="N5" s="106"/>
      <c r="O5" s="106"/>
      <c r="P5" s="106"/>
    </row>
    <row r="6" spans="2:16" ht="90" x14ac:dyDescent="0.25">
      <c r="B6" s="11" t="s">
        <v>44</v>
      </c>
      <c r="C6" s="30">
        <f>'Evaluator #1'!C6</f>
        <v>0.3</v>
      </c>
      <c r="D6" s="10">
        <v>3</v>
      </c>
      <c r="E6" s="2">
        <f t="shared" ref="E6:E12" si="0">(C6*D6)</f>
        <v>0.89999999999999991</v>
      </c>
      <c r="F6" s="10">
        <v>4</v>
      </c>
      <c r="G6" s="2">
        <f t="shared" ref="G6:G12" si="1">(C6*F6)</f>
        <v>1.2</v>
      </c>
      <c r="H6" s="10">
        <v>5</v>
      </c>
      <c r="I6" s="2">
        <f t="shared" ref="I6:I12" si="2">(C6*H6)</f>
        <v>1.5</v>
      </c>
      <c r="J6" s="10">
        <v>2</v>
      </c>
      <c r="K6" s="2">
        <f t="shared" ref="K6:K12" si="3">(C6*J6)</f>
        <v>0.6</v>
      </c>
      <c r="M6" s="106"/>
      <c r="N6" s="106"/>
      <c r="O6" s="106"/>
      <c r="P6" s="106"/>
    </row>
    <row r="7" spans="2:16" ht="45" customHeight="1" x14ac:dyDescent="0.25">
      <c r="B7" s="29" t="str">
        <f>+'Evaluator #1'!B7</f>
        <v>(2)Guaranteed Return: points awarded will be based upon the highest unlimited guaranteed return receiving the most points with decreasing points for each FSMC's lower guaranteed return</v>
      </c>
      <c r="C7" s="30">
        <f>'Evaluator #1'!C7</f>
        <v>0.25</v>
      </c>
      <c r="D7" s="10">
        <v>4</v>
      </c>
      <c r="E7" s="2">
        <f t="shared" si="0"/>
        <v>1</v>
      </c>
      <c r="F7" s="10">
        <v>5</v>
      </c>
      <c r="G7" s="2">
        <f t="shared" si="1"/>
        <v>1.25</v>
      </c>
      <c r="H7" s="10">
        <v>1</v>
      </c>
      <c r="I7" s="2">
        <f t="shared" si="2"/>
        <v>0.25</v>
      </c>
      <c r="J7" s="10">
        <v>2</v>
      </c>
      <c r="K7" s="2">
        <f t="shared" si="3"/>
        <v>0.5</v>
      </c>
    </row>
    <row r="8" spans="2:16" ht="48.75" customHeight="1" x14ac:dyDescent="0.25">
      <c r="B8" s="29" t="str">
        <f>+'Evaluator #1'!B8</f>
        <v>(3)Menu: Consider the FSMC's 21- day cycle menu for variety, student acceptability, number and kinds of choices available and a la carte selections</v>
      </c>
      <c r="C8" s="30">
        <f>'Evaluator #1'!C8</f>
        <v>0.1</v>
      </c>
      <c r="D8" s="10">
        <v>3</v>
      </c>
      <c r="E8" s="2">
        <f t="shared" si="0"/>
        <v>0.30000000000000004</v>
      </c>
      <c r="F8" s="10">
        <v>5</v>
      </c>
      <c r="G8" s="2">
        <f t="shared" si="1"/>
        <v>0.5</v>
      </c>
      <c r="H8" s="10">
        <v>3</v>
      </c>
      <c r="I8" s="2">
        <f t="shared" si="2"/>
        <v>0.30000000000000004</v>
      </c>
      <c r="J8" s="10">
        <v>2</v>
      </c>
      <c r="K8" s="2">
        <f t="shared" si="3"/>
        <v>0.2</v>
      </c>
    </row>
    <row r="9" spans="2:16" ht="46.5" customHeight="1" x14ac:dyDescent="0.25">
      <c r="B9" s="29" t="str">
        <f>+'Evaluator #1'!B9</f>
        <v>(4)Proposed Meal Count and Financial Targets: If the FSMCs are proposing increase in meal counts and income in their proposals, are they realistic? Consider, if their plans for achieving these goals are practical and reasonable</v>
      </c>
      <c r="C9" s="30">
        <f>'Evaluator #1'!C9</f>
        <v>0.1</v>
      </c>
      <c r="D9" s="10">
        <v>4</v>
      </c>
      <c r="E9" s="2">
        <f t="shared" si="0"/>
        <v>0.4</v>
      </c>
      <c r="F9" s="10">
        <v>4</v>
      </c>
      <c r="G9" s="2">
        <f t="shared" si="1"/>
        <v>0.4</v>
      </c>
      <c r="H9" s="10">
        <v>4</v>
      </c>
      <c r="I9" s="2">
        <f t="shared" si="2"/>
        <v>0.4</v>
      </c>
      <c r="J9" s="10">
        <v>4</v>
      </c>
      <c r="K9" s="2">
        <f t="shared" si="3"/>
        <v>0.4</v>
      </c>
    </row>
    <row r="10" spans="2:16" ht="47.25" customHeight="1" x14ac:dyDescent="0.25">
      <c r="B10" s="29" t="str">
        <f>+'Evaluator #1'!B10</f>
        <v>(5) Corporate Capability and Experience: some measures can include performance record, years in the industry, client retention, references and  financial condition of the FSMC</v>
      </c>
      <c r="C10" s="30">
        <f>'Evaluator #1'!C10</f>
        <v>0.25</v>
      </c>
      <c r="D10" s="10">
        <v>3</v>
      </c>
      <c r="E10" s="2">
        <f t="shared" si="0"/>
        <v>0.75</v>
      </c>
      <c r="F10" s="10">
        <v>5</v>
      </c>
      <c r="G10" s="2">
        <f t="shared" si="1"/>
        <v>1.25</v>
      </c>
      <c r="H10" s="10">
        <v>3</v>
      </c>
      <c r="I10" s="2">
        <f t="shared" si="2"/>
        <v>0.75</v>
      </c>
      <c r="J10" s="10">
        <v>3</v>
      </c>
      <c r="K10" s="2">
        <f t="shared" si="3"/>
        <v>0.75</v>
      </c>
    </row>
    <row r="11" spans="2:16" ht="43.5" customHeight="1" x14ac:dyDescent="0.25">
      <c r="B11" s="32" t="str">
        <f>'Evaluator #1'!B11</f>
        <v>(6)</v>
      </c>
      <c r="C11" s="30">
        <f>'Evaluator #1'!C11</f>
        <v>0</v>
      </c>
      <c r="D11" s="10"/>
      <c r="E11" s="9">
        <f t="shared" si="0"/>
        <v>0</v>
      </c>
      <c r="F11" s="10"/>
      <c r="G11" s="9">
        <f t="shared" si="1"/>
        <v>0</v>
      </c>
      <c r="H11" s="10"/>
      <c r="I11" s="9">
        <f t="shared" si="2"/>
        <v>0</v>
      </c>
      <c r="J11" s="10"/>
      <c r="K11" s="9">
        <f t="shared" si="3"/>
        <v>0</v>
      </c>
    </row>
    <row r="12" spans="2:16" ht="42" customHeight="1" x14ac:dyDescent="0.25">
      <c r="B12" s="32" t="str">
        <f>'Evaluator #1'!B12</f>
        <v>(7)</v>
      </c>
      <c r="C12" s="30">
        <f>'Evaluator #1'!C12</f>
        <v>0</v>
      </c>
      <c r="D12" s="10"/>
      <c r="E12" s="9">
        <f t="shared" si="0"/>
        <v>0</v>
      </c>
      <c r="F12" s="10"/>
      <c r="G12" s="9">
        <f t="shared" si="1"/>
        <v>0</v>
      </c>
      <c r="H12" s="10"/>
      <c r="I12" s="9">
        <f t="shared" si="2"/>
        <v>0</v>
      </c>
      <c r="J12" s="10"/>
      <c r="K12" s="9">
        <f t="shared" si="3"/>
        <v>0</v>
      </c>
    </row>
    <row r="13" spans="2:16" ht="30" customHeight="1" thickBot="1" x14ac:dyDescent="0.3">
      <c r="B13" s="16" t="s">
        <v>7</v>
      </c>
      <c r="C13" s="15">
        <f>SUM(C6, C7, C8, C9, C10, C11, C12)</f>
        <v>1</v>
      </c>
      <c r="D13" s="3"/>
      <c r="E13" s="4">
        <f>SUM(E6, E7, E8, E9, E10, E11, E12)</f>
        <v>3.35</v>
      </c>
      <c r="F13" s="3"/>
      <c r="G13" s="4">
        <f>SUM(G6, G7, G8, G9, G10, G11, G12)</f>
        <v>4.5999999999999996</v>
      </c>
      <c r="H13" s="3"/>
      <c r="I13" s="4">
        <f>SUM(I6, I7, I8, I9, I10, I11, I12)</f>
        <v>3.1999999999999997</v>
      </c>
      <c r="J13" s="3"/>
      <c r="K13" s="4">
        <f>SUM(K6, K7, K8, K9, K10, K11, K12)</f>
        <v>2.4500000000000002</v>
      </c>
    </row>
    <row r="14" spans="2:16" ht="9" customHeight="1" x14ac:dyDescent="0.25"/>
    <row r="15" spans="2:16" ht="6.75" customHeight="1" thickBot="1" x14ac:dyDescent="0.3"/>
    <row r="16" spans="2:16" x14ac:dyDescent="0.25">
      <c r="B16" s="90" t="s">
        <v>28</v>
      </c>
      <c r="C16" s="91"/>
      <c r="D16" s="91"/>
      <c r="E16" s="91"/>
      <c r="F16" s="91"/>
      <c r="G16" s="91"/>
      <c r="H16" s="91"/>
      <c r="I16" s="91"/>
      <c r="J16" s="91"/>
      <c r="K16" s="92"/>
    </row>
    <row r="17" spans="2:11" ht="15.75" thickBot="1" x14ac:dyDescent="0.3">
      <c r="B17" s="93"/>
      <c r="C17" s="94"/>
      <c r="D17" s="94"/>
      <c r="E17" s="94"/>
      <c r="F17" s="94"/>
      <c r="G17" s="94"/>
      <c r="H17" s="94"/>
      <c r="I17" s="94"/>
      <c r="J17" s="94"/>
      <c r="K17" s="95"/>
    </row>
    <row r="18" spans="2:11" x14ac:dyDescent="0.25">
      <c r="B18" s="54" t="s">
        <v>29</v>
      </c>
      <c r="C18" s="55"/>
      <c r="D18" s="55"/>
      <c r="E18" s="55"/>
      <c r="F18" s="55"/>
      <c r="G18" s="55"/>
      <c r="H18" s="55"/>
      <c r="I18" s="55"/>
      <c r="J18" s="55"/>
      <c r="K18" s="56"/>
    </row>
    <row r="19" spans="2:11" ht="9" customHeight="1" x14ac:dyDescent="0.25">
      <c r="B19" s="57"/>
      <c r="C19" s="58"/>
      <c r="D19" s="58"/>
      <c r="E19" s="58"/>
      <c r="F19" s="58"/>
      <c r="G19" s="58"/>
      <c r="H19" s="58"/>
      <c r="I19" s="58"/>
      <c r="J19" s="58"/>
      <c r="K19" s="59"/>
    </row>
    <row r="20" spans="2:11" ht="9" customHeight="1" thickBot="1" x14ac:dyDescent="0.3">
      <c r="B20" s="60"/>
      <c r="C20" s="61"/>
      <c r="D20" s="61"/>
      <c r="E20" s="61"/>
      <c r="F20" s="61"/>
      <c r="G20" s="61"/>
      <c r="H20" s="61"/>
      <c r="I20" s="61"/>
      <c r="J20" s="61"/>
      <c r="K20" s="62"/>
    </row>
    <row r="21" spans="2:11" x14ac:dyDescent="0.25">
      <c r="B21" s="54" t="s">
        <v>27</v>
      </c>
      <c r="C21" s="55"/>
      <c r="D21" s="55"/>
      <c r="E21" s="55"/>
      <c r="F21" s="55"/>
      <c r="G21" s="55"/>
      <c r="H21" s="55"/>
      <c r="I21" s="55"/>
      <c r="J21" s="55"/>
      <c r="K21" s="56"/>
    </row>
    <row r="22" spans="2:11" x14ac:dyDescent="0.25">
      <c r="B22" s="57"/>
      <c r="C22" s="58"/>
      <c r="D22" s="58"/>
      <c r="E22" s="58"/>
      <c r="F22" s="58"/>
      <c r="G22" s="58"/>
      <c r="H22" s="58"/>
      <c r="I22" s="58"/>
      <c r="J22" s="58"/>
      <c r="K22" s="59"/>
    </row>
    <row r="23" spans="2:11" ht="15.75" thickBot="1" x14ac:dyDescent="0.3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x14ac:dyDescent="0.25">
      <c r="B24" s="54" t="s">
        <v>30</v>
      </c>
      <c r="C24" s="55"/>
      <c r="D24" s="55"/>
      <c r="E24" s="55"/>
      <c r="F24" s="55"/>
      <c r="G24" s="55"/>
      <c r="H24" s="55"/>
      <c r="I24" s="55"/>
      <c r="J24" s="55"/>
      <c r="K24" s="56"/>
    </row>
    <row r="25" spans="2:11" x14ac:dyDescent="0.25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9" customHeight="1" thickBot="1" x14ac:dyDescent="0.3">
      <c r="B26" s="60"/>
      <c r="C26" s="61"/>
      <c r="D26" s="61"/>
      <c r="E26" s="61"/>
      <c r="F26" s="61"/>
      <c r="G26" s="61"/>
      <c r="H26" s="61"/>
      <c r="I26" s="61"/>
      <c r="J26" s="61"/>
      <c r="K26" s="62"/>
    </row>
  </sheetData>
  <mergeCells count="10">
    <mergeCell ref="M5:P6"/>
    <mergeCell ref="B3:C3"/>
    <mergeCell ref="D3:E3"/>
    <mergeCell ref="F3:G3"/>
    <mergeCell ref="H3:I3"/>
    <mergeCell ref="B16:K17"/>
    <mergeCell ref="B18:K20"/>
    <mergeCell ref="B21:K23"/>
    <mergeCell ref="B24:K26"/>
    <mergeCell ref="J3:K3"/>
  </mergeCells>
  <pageMargins left="0.7" right="0.7" top="0.75" bottom="0.75" header="0.3" footer="0.3"/>
  <pageSetup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26"/>
  <sheetViews>
    <sheetView zoomScaleNormal="100" workbookViewId="0">
      <selection activeCell="J11" sqref="J11"/>
    </sheetView>
  </sheetViews>
  <sheetFormatPr defaultRowHeight="15" x14ac:dyDescent="0.25"/>
  <cols>
    <col min="1" max="1" width="4" customWidth="1"/>
    <col min="2" max="2" width="68.85546875" customWidth="1"/>
    <col min="3" max="3" width="11.7109375" customWidth="1"/>
    <col min="4" max="5" width="9.28515625" customWidth="1"/>
    <col min="6" max="7" width="9" customWidth="1"/>
    <col min="8" max="8" width="9.140625" customWidth="1"/>
    <col min="9" max="9" width="9.28515625" customWidth="1"/>
    <col min="10" max="10" width="9.140625" customWidth="1"/>
    <col min="11" max="11" width="9.5703125" customWidth="1"/>
    <col min="12" max="12" width="6" customWidth="1"/>
    <col min="15" max="15" width="6.28515625" customWidth="1"/>
    <col min="16" max="16" width="7.5703125" customWidth="1"/>
    <col min="17" max="17" width="36.42578125" customWidth="1"/>
    <col min="18" max="18" width="6.42578125" customWidth="1"/>
    <col min="19" max="19" width="8.42578125" customWidth="1"/>
    <col min="20" max="20" width="7" customWidth="1"/>
    <col min="22" max="22" width="6.42578125" customWidth="1"/>
    <col min="24" max="24" width="16.42578125" customWidth="1"/>
  </cols>
  <sheetData>
    <row r="1" spans="2:16" ht="15.75" thickBot="1" x14ac:dyDescent="0.3"/>
    <row r="2" spans="2:16" ht="30" customHeight="1" thickBot="1" x14ac:dyDescent="0.3">
      <c r="B2" s="43" t="s">
        <v>34</v>
      </c>
      <c r="C2" s="44" t="s">
        <v>55</v>
      </c>
      <c r="D2" s="39"/>
      <c r="E2" s="39"/>
      <c r="F2" s="39"/>
      <c r="G2" s="39"/>
      <c r="H2" s="39"/>
      <c r="I2" s="39"/>
      <c r="J2" s="39"/>
      <c r="K2" s="40"/>
    </row>
    <row r="3" spans="2:16" x14ac:dyDescent="0.25">
      <c r="B3" s="49"/>
      <c r="C3" s="50"/>
      <c r="D3" s="111" t="str">
        <f>+'Evaluator #1'!D3:E3</f>
        <v>Whitson</v>
      </c>
      <c r="E3" s="112"/>
      <c r="F3" s="111" t="str">
        <f>+'Evaluator #1'!F3:G3</f>
        <v>Nutri-Serve</v>
      </c>
      <c r="G3" s="112"/>
      <c r="H3" s="111" t="str">
        <f>+'Evaluator #1'!H3:I3</f>
        <v>SFE</v>
      </c>
      <c r="I3" s="112"/>
      <c r="J3" s="111" t="str">
        <f>+'Evaluator #1'!J3:K3</f>
        <v>Chartwells</v>
      </c>
      <c r="K3" s="112"/>
    </row>
    <row r="4" spans="2:16" x14ac:dyDescent="0.25">
      <c r="B4" s="33"/>
      <c r="C4" s="34"/>
      <c r="D4" s="41"/>
      <c r="E4" s="42"/>
      <c r="F4" s="41"/>
      <c r="G4" s="42"/>
      <c r="H4" s="41"/>
      <c r="I4" s="42"/>
      <c r="J4" s="41"/>
      <c r="K4" s="42"/>
    </row>
    <row r="5" spans="2:16" ht="30" customHeight="1" x14ac:dyDescent="0.2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13" t="s">
        <v>37</v>
      </c>
      <c r="N5" s="106"/>
      <c r="O5" s="106"/>
      <c r="P5" s="106"/>
    </row>
    <row r="6" spans="2:16" ht="45" x14ac:dyDescent="0.25">
      <c r="B6" s="11" t="s">
        <v>10</v>
      </c>
      <c r="C6" s="30">
        <f>'Evaluator #1'!C6</f>
        <v>0.3</v>
      </c>
      <c r="D6" s="10">
        <v>3</v>
      </c>
      <c r="E6" s="2">
        <f t="shared" ref="E6:E12" si="0">(C6*D6)</f>
        <v>0.89999999999999991</v>
      </c>
      <c r="F6" s="10">
        <v>4</v>
      </c>
      <c r="G6" s="2">
        <f t="shared" ref="G6:G12" si="1">(C6*F6)</f>
        <v>1.2</v>
      </c>
      <c r="H6" s="10">
        <v>5</v>
      </c>
      <c r="I6" s="2">
        <f t="shared" ref="I6:I12" si="2">(C6*H6)</f>
        <v>1.5</v>
      </c>
      <c r="J6" s="10">
        <v>2</v>
      </c>
      <c r="K6" s="2">
        <f t="shared" ref="K6:K12" si="3">(C6*J6)</f>
        <v>0.6</v>
      </c>
      <c r="M6" s="106"/>
      <c r="N6" s="106"/>
      <c r="O6" s="106"/>
      <c r="P6" s="106"/>
    </row>
    <row r="7" spans="2:16" ht="46.5" customHeight="1" x14ac:dyDescent="0.25">
      <c r="B7" s="31" t="str">
        <f>'Evaluator #1'!B7</f>
        <v>(2)Guaranteed Return: points awarded will be based upon the highest unlimited guaranteed return receiving the most points with decreasing points for each FSMC's lower guaranteed return</v>
      </c>
      <c r="C7" s="30">
        <f>'Evaluator #1'!C7</f>
        <v>0.25</v>
      </c>
      <c r="D7" s="10">
        <v>4</v>
      </c>
      <c r="E7" s="2">
        <f t="shared" si="0"/>
        <v>1</v>
      </c>
      <c r="F7" s="10">
        <v>5</v>
      </c>
      <c r="G7" s="2">
        <f t="shared" si="1"/>
        <v>1.25</v>
      </c>
      <c r="H7" s="10">
        <v>1</v>
      </c>
      <c r="I7" s="2">
        <f t="shared" si="2"/>
        <v>0.25</v>
      </c>
      <c r="J7" s="10">
        <v>2</v>
      </c>
      <c r="K7" s="2">
        <f t="shared" si="3"/>
        <v>0.5</v>
      </c>
    </row>
    <row r="8" spans="2:16" ht="48" customHeight="1" x14ac:dyDescent="0.25">
      <c r="B8" s="31" t="str">
        <f>'Evaluator #1'!B8</f>
        <v>(3)Menu: Consider the FSMC's 21- day cycle menu for variety, student acceptability, number and kinds of choices available and a la carte selections</v>
      </c>
      <c r="C8" s="30">
        <f>'Evaluator #1'!C8</f>
        <v>0.1</v>
      </c>
      <c r="D8" s="10">
        <v>3</v>
      </c>
      <c r="E8" s="2">
        <f t="shared" si="0"/>
        <v>0.30000000000000004</v>
      </c>
      <c r="F8" s="10">
        <v>5</v>
      </c>
      <c r="G8" s="2">
        <f t="shared" si="1"/>
        <v>0.5</v>
      </c>
      <c r="H8" s="10">
        <v>1</v>
      </c>
      <c r="I8" s="2">
        <f t="shared" si="2"/>
        <v>0.1</v>
      </c>
      <c r="J8" s="10">
        <v>2</v>
      </c>
      <c r="K8" s="2">
        <f t="shared" si="3"/>
        <v>0.2</v>
      </c>
    </row>
    <row r="9" spans="2:16" ht="42.75" customHeight="1" x14ac:dyDescent="0.25">
      <c r="B9" s="31" t="str">
        <f>'Evaluator #1'!B9</f>
        <v>(4)Proposed Meal Count and Financial Targets: If the FSMCs are proposing increase in meal counts and income in their proposals, are they realistic? Consider, if their plans for achieving these goals are practical and reasonable</v>
      </c>
      <c r="C9" s="30">
        <f>'Evaluator #1'!C9</f>
        <v>0.1</v>
      </c>
      <c r="D9" s="10">
        <v>4</v>
      </c>
      <c r="E9" s="2">
        <f t="shared" si="0"/>
        <v>0.4</v>
      </c>
      <c r="F9" s="10">
        <v>5</v>
      </c>
      <c r="G9" s="2">
        <f t="shared" si="1"/>
        <v>0.5</v>
      </c>
      <c r="H9" s="10">
        <v>4</v>
      </c>
      <c r="I9" s="2">
        <f t="shared" si="2"/>
        <v>0.4</v>
      </c>
      <c r="J9" s="10">
        <v>4</v>
      </c>
      <c r="K9" s="2">
        <f t="shared" si="3"/>
        <v>0.4</v>
      </c>
    </row>
    <row r="10" spans="2:16" ht="45" customHeight="1" x14ac:dyDescent="0.25">
      <c r="B10" s="31" t="str">
        <f>'Evaluator #1'!B10</f>
        <v>(5) Corporate Capability and Experience: some measures can include performance record, years in the industry, client retention, references and  financial condition of the FSMC</v>
      </c>
      <c r="C10" s="30">
        <f>'Evaluator #1'!C10</f>
        <v>0.25</v>
      </c>
      <c r="D10" s="10">
        <v>2</v>
      </c>
      <c r="E10" s="2">
        <f t="shared" si="0"/>
        <v>0.5</v>
      </c>
      <c r="F10" s="10">
        <v>5</v>
      </c>
      <c r="G10" s="2">
        <f t="shared" si="1"/>
        <v>1.25</v>
      </c>
      <c r="H10" s="10">
        <v>2</v>
      </c>
      <c r="I10" s="2">
        <f t="shared" si="2"/>
        <v>0.5</v>
      </c>
      <c r="J10" s="10">
        <v>2</v>
      </c>
      <c r="K10" s="2">
        <f t="shared" si="3"/>
        <v>0.5</v>
      </c>
    </row>
    <row r="11" spans="2:16" ht="45" customHeight="1" x14ac:dyDescent="0.25">
      <c r="B11" s="32" t="str">
        <f>'Evaluator #1'!B11</f>
        <v>(6)</v>
      </c>
      <c r="C11" s="30">
        <f>'Evaluator #1'!C11</f>
        <v>0</v>
      </c>
      <c r="D11" s="10"/>
      <c r="E11" s="9">
        <f t="shared" si="0"/>
        <v>0</v>
      </c>
      <c r="F11" s="10"/>
      <c r="G11" s="9">
        <f t="shared" si="1"/>
        <v>0</v>
      </c>
      <c r="H11" s="10"/>
      <c r="I11" s="9">
        <f t="shared" si="2"/>
        <v>0</v>
      </c>
      <c r="J11" s="10"/>
      <c r="K11" s="9">
        <f t="shared" si="3"/>
        <v>0</v>
      </c>
    </row>
    <row r="12" spans="2:16" ht="45" customHeight="1" x14ac:dyDescent="0.25">
      <c r="B12" s="32" t="str">
        <f>'Evaluator #1'!B12</f>
        <v>(7)</v>
      </c>
      <c r="C12" s="30">
        <f>'Evaluator #1'!C12</f>
        <v>0</v>
      </c>
      <c r="D12" s="10"/>
      <c r="E12" s="9">
        <f t="shared" si="0"/>
        <v>0</v>
      </c>
      <c r="F12" s="10"/>
      <c r="G12" s="9">
        <f t="shared" si="1"/>
        <v>0</v>
      </c>
      <c r="H12" s="10"/>
      <c r="I12" s="9">
        <f t="shared" si="2"/>
        <v>0</v>
      </c>
      <c r="J12" s="10"/>
      <c r="K12" s="9">
        <f t="shared" si="3"/>
        <v>0</v>
      </c>
    </row>
    <row r="13" spans="2:16" ht="30" customHeight="1" thickBot="1" x14ac:dyDescent="0.3">
      <c r="B13" s="16" t="s">
        <v>7</v>
      </c>
      <c r="C13" s="15">
        <f>SUM(C6, C7, C8, C9, C10, C11, C12)</f>
        <v>1</v>
      </c>
      <c r="D13" s="3"/>
      <c r="E13" s="4">
        <f>SUM(E6, E7, E8, E9, E10, E11, E12)</f>
        <v>3.1</v>
      </c>
      <c r="F13" s="3"/>
      <c r="G13" s="4">
        <f>SUM(G6, G7, G8, G9, G10, G11, G12)</f>
        <v>4.7</v>
      </c>
      <c r="H13" s="3"/>
      <c r="I13" s="4">
        <f>SUM(I6, I7, I8, I9, I10, I11, I12)</f>
        <v>2.75</v>
      </c>
      <c r="J13" s="3"/>
      <c r="K13" s="4">
        <f>SUM(K6, K7, K8, K9, K10, K11, K12)</f>
        <v>2.2000000000000002</v>
      </c>
    </row>
    <row r="14" spans="2:16" ht="8.25" customHeight="1" x14ac:dyDescent="0.25"/>
    <row r="15" spans="2:16" ht="10.5" customHeight="1" thickBot="1" x14ac:dyDescent="0.3"/>
    <row r="16" spans="2:16" x14ac:dyDescent="0.25">
      <c r="B16" s="90" t="s">
        <v>28</v>
      </c>
      <c r="C16" s="91"/>
      <c r="D16" s="91"/>
      <c r="E16" s="91"/>
      <c r="F16" s="91"/>
      <c r="G16" s="91"/>
      <c r="H16" s="91"/>
      <c r="I16" s="91"/>
      <c r="J16" s="91"/>
      <c r="K16" s="92"/>
    </row>
    <row r="17" spans="2:11" ht="15" customHeight="1" thickBot="1" x14ac:dyDescent="0.3">
      <c r="B17" s="93"/>
      <c r="C17" s="94"/>
      <c r="D17" s="94"/>
      <c r="E17" s="94"/>
      <c r="F17" s="94"/>
      <c r="G17" s="94"/>
      <c r="H17" s="94"/>
      <c r="I17" s="94"/>
      <c r="J17" s="94"/>
      <c r="K17" s="95"/>
    </row>
    <row r="18" spans="2:11" ht="33.75" customHeight="1" x14ac:dyDescent="0.25">
      <c r="B18" s="54" t="s">
        <v>29</v>
      </c>
      <c r="C18" s="55"/>
      <c r="D18" s="55"/>
      <c r="E18" s="55"/>
      <c r="F18" s="55"/>
      <c r="G18" s="55"/>
      <c r="H18" s="55"/>
      <c r="I18" s="55"/>
      <c r="J18" s="55"/>
      <c r="K18" s="56"/>
    </row>
    <row r="19" spans="2:11" ht="10.5" customHeight="1" x14ac:dyDescent="0.25">
      <c r="B19" s="57"/>
      <c r="C19" s="58"/>
      <c r="D19" s="58"/>
      <c r="E19" s="58"/>
      <c r="F19" s="58"/>
      <c r="G19" s="58"/>
      <c r="H19" s="58"/>
      <c r="I19" s="58"/>
      <c r="J19" s="58"/>
      <c r="K19" s="59"/>
    </row>
    <row r="20" spans="2:11" ht="15.75" thickBot="1" x14ac:dyDescent="0.3">
      <c r="B20" s="60"/>
      <c r="C20" s="61"/>
      <c r="D20" s="61"/>
      <c r="E20" s="61"/>
      <c r="F20" s="61"/>
      <c r="G20" s="61"/>
      <c r="H20" s="61"/>
      <c r="I20" s="61"/>
      <c r="J20" s="61"/>
      <c r="K20" s="62"/>
    </row>
    <row r="21" spans="2:11" x14ac:dyDescent="0.25">
      <c r="B21" s="54" t="s">
        <v>27</v>
      </c>
      <c r="C21" s="55"/>
      <c r="D21" s="55"/>
      <c r="E21" s="55"/>
      <c r="F21" s="55"/>
      <c r="G21" s="55"/>
      <c r="H21" s="55"/>
      <c r="I21" s="55"/>
      <c r="J21" s="55"/>
      <c r="K21" s="56"/>
    </row>
    <row r="22" spans="2:11" ht="15" customHeight="1" x14ac:dyDescent="0.25">
      <c r="B22" s="57"/>
      <c r="C22" s="58"/>
      <c r="D22" s="58"/>
      <c r="E22" s="58"/>
      <c r="F22" s="58"/>
      <c r="G22" s="58"/>
      <c r="H22" s="58"/>
      <c r="I22" s="58"/>
      <c r="J22" s="58"/>
      <c r="K22" s="59"/>
    </row>
    <row r="23" spans="2:11" ht="15.75" thickBot="1" x14ac:dyDescent="0.3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x14ac:dyDescent="0.25">
      <c r="B24" s="54" t="s">
        <v>30</v>
      </c>
      <c r="C24" s="55"/>
      <c r="D24" s="55"/>
      <c r="E24" s="55"/>
      <c r="F24" s="55"/>
      <c r="G24" s="55"/>
      <c r="H24" s="55"/>
      <c r="I24" s="55"/>
      <c r="J24" s="55"/>
      <c r="K24" s="56"/>
    </row>
    <row r="25" spans="2:11" x14ac:dyDescent="0.25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15.75" thickBot="1" x14ac:dyDescent="0.3">
      <c r="B26" s="60"/>
      <c r="C26" s="61"/>
      <c r="D26" s="61"/>
      <c r="E26" s="61"/>
      <c r="F26" s="61"/>
      <c r="G26" s="61"/>
      <c r="H26" s="61"/>
      <c r="I26" s="61"/>
      <c r="J26" s="61"/>
      <c r="K26" s="62"/>
    </row>
  </sheetData>
  <mergeCells count="10">
    <mergeCell ref="M5:P6"/>
    <mergeCell ref="B16:K17"/>
    <mergeCell ref="B18:K20"/>
    <mergeCell ref="B21:K23"/>
    <mergeCell ref="B24:K26"/>
    <mergeCell ref="B3:C3"/>
    <mergeCell ref="D3:E3"/>
    <mergeCell ref="F3:G3"/>
    <mergeCell ref="H3:I3"/>
    <mergeCell ref="J3:K3"/>
  </mergeCells>
  <pageMargins left="0.7" right="0.7" top="0.75" bottom="0.75" header="0.3" footer="0.3"/>
  <pageSetup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6"/>
  <sheetViews>
    <sheetView topLeftCell="B1" zoomScaleNormal="100" workbookViewId="0">
      <selection activeCell="F10" sqref="F10"/>
    </sheetView>
  </sheetViews>
  <sheetFormatPr defaultRowHeight="15" x14ac:dyDescent="0.25"/>
  <cols>
    <col min="1" max="1" width="3.85546875" customWidth="1"/>
    <col min="2" max="2" width="68.85546875" customWidth="1"/>
    <col min="3" max="3" width="11.7109375" customWidth="1"/>
    <col min="4" max="4" width="8.7109375" customWidth="1"/>
    <col min="5" max="5" width="9.28515625" customWidth="1"/>
    <col min="6" max="6" width="9.140625" customWidth="1"/>
    <col min="7" max="7" width="8.85546875" customWidth="1"/>
    <col min="8" max="8" width="8.7109375" customWidth="1"/>
    <col min="9" max="9" width="9.140625" customWidth="1"/>
    <col min="10" max="10" width="9.28515625" customWidth="1"/>
    <col min="11" max="11" width="8.7109375" customWidth="1"/>
    <col min="12" max="12" width="5.42578125" customWidth="1"/>
    <col min="15" max="15" width="7" customWidth="1"/>
    <col min="16" max="16" width="8" customWidth="1"/>
    <col min="17" max="17" width="6.7109375" customWidth="1"/>
    <col min="18" max="18" width="6.42578125" customWidth="1"/>
    <col min="19" max="19" width="7.7109375" customWidth="1"/>
    <col min="20" max="20" width="6.140625" customWidth="1"/>
    <col min="21" max="21" width="13.7109375" customWidth="1"/>
    <col min="22" max="22" width="6.42578125" customWidth="1"/>
    <col min="24" max="24" width="10.7109375" customWidth="1"/>
    <col min="29" max="29" width="13.140625" customWidth="1"/>
    <col min="30" max="30" width="11.28515625" customWidth="1"/>
    <col min="31" max="31" width="11.7109375" customWidth="1"/>
  </cols>
  <sheetData>
    <row r="1" spans="2:16" ht="15.75" thickBot="1" x14ac:dyDescent="0.3"/>
    <row r="2" spans="2:16" ht="30" customHeight="1" thickBot="1" x14ac:dyDescent="0.3">
      <c r="B2" s="43" t="s">
        <v>35</v>
      </c>
      <c r="C2" s="44"/>
      <c r="D2" s="39"/>
      <c r="E2" s="39"/>
      <c r="F2" s="39"/>
      <c r="G2" s="39"/>
      <c r="H2" s="39"/>
      <c r="I2" s="39"/>
      <c r="J2" s="39"/>
      <c r="K2" s="40"/>
    </row>
    <row r="3" spans="2:16" x14ac:dyDescent="0.25">
      <c r="B3" s="49"/>
      <c r="C3" s="50"/>
      <c r="D3" s="111" t="str">
        <f>+'Evaluator #1'!D3:E3</f>
        <v>Whitson</v>
      </c>
      <c r="E3" s="112"/>
      <c r="F3" s="111" t="str">
        <f>+'Evaluator #1'!F3:G3</f>
        <v>Nutri-Serve</v>
      </c>
      <c r="G3" s="112"/>
      <c r="H3" s="111" t="str">
        <f>+'Evaluator #1'!H3:I3</f>
        <v>SFE</v>
      </c>
      <c r="I3" s="112"/>
      <c r="J3" s="111" t="str">
        <f>+'Evaluator #1'!J3:K3</f>
        <v>Chartwells</v>
      </c>
      <c r="K3" s="112"/>
    </row>
    <row r="4" spans="2:16" x14ac:dyDescent="0.25">
      <c r="B4" s="33"/>
      <c r="C4" s="34"/>
      <c r="D4" s="41"/>
      <c r="E4" s="42"/>
      <c r="F4" s="41"/>
      <c r="G4" s="42"/>
      <c r="H4" s="41"/>
      <c r="I4" s="42"/>
      <c r="J4" s="41"/>
      <c r="K4" s="42"/>
    </row>
    <row r="5" spans="2:16" ht="30" customHeight="1" x14ac:dyDescent="0.2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13" t="s">
        <v>36</v>
      </c>
      <c r="N5" s="106"/>
      <c r="O5" s="106"/>
      <c r="P5" s="106"/>
    </row>
    <row r="6" spans="2:16" ht="45" x14ac:dyDescent="0.25">
      <c r="B6" s="11" t="s">
        <v>10</v>
      </c>
      <c r="C6" s="30">
        <f>'Evaluator #1'!C6</f>
        <v>0.3</v>
      </c>
      <c r="D6" s="5">
        <v>0</v>
      </c>
      <c r="E6" s="2">
        <f t="shared" ref="E6:E12" si="0">(C6*D6)</f>
        <v>0</v>
      </c>
      <c r="F6" s="5">
        <v>0</v>
      </c>
      <c r="G6" s="2">
        <f t="shared" ref="G6:G12" si="1">(C6*F6)</f>
        <v>0</v>
      </c>
      <c r="H6" s="5"/>
      <c r="I6" s="2">
        <f t="shared" ref="I6:I12" si="2">(C6*H6)</f>
        <v>0</v>
      </c>
      <c r="J6" s="5"/>
      <c r="K6" s="2">
        <f t="shared" ref="K6:K12" si="3">(C6*J6)</f>
        <v>0</v>
      </c>
      <c r="M6" s="106"/>
      <c r="N6" s="106"/>
      <c r="O6" s="106"/>
      <c r="P6" s="106"/>
    </row>
    <row r="7" spans="2:16" ht="42.75" customHeight="1" x14ac:dyDescent="0.25">
      <c r="B7" s="31" t="str">
        <f>'Evaluator #1'!B7</f>
        <v>(2)Guaranteed Return: points awarded will be based upon the highest unlimited guaranteed return receiving the most points with decreasing points for each FSMC's lower guaranteed return</v>
      </c>
      <c r="C7" s="30">
        <f>'Evaluator #1'!C7</f>
        <v>0.25</v>
      </c>
      <c r="D7" s="5">
        <v>0</v>
      </c>
      <c r="E7" s="2">
        <f t="shared" si="0"/>
        <v>0</v>
      </c>
      <c r="F7" s="5">
        <v>0</v>
      </c>
      <c r="G7" s="2">
        <f t="shared" si="1"/>
        <v>0</v>
      </c>
      <c r="H7" s="5"/>
      <c r="I7" s="2">
        <f t="shared" si="2"/>
        <v>0</v>
      </c>
      <c r="J7" s="5"/>
      <c r="K7" s="2">
        <f t="shared" si="3"/>
        <v>0</v>
      </c>
    </row>
    <row r="8" spans="2:16" ht="45.75" customHeight="1" x14ac:dyDescent="0.25">
      <c r="B8" s="31" t="str">
        <f>'Evaluator #1'!B8</f>
        <v>(3)Menu: Consider the FSMC's 21- day cycle menu for variety, student acceptability, number and kinds of choices available and a la carte selections</v>
      </c>
      <c r="C8" s="30">
        <f>'Evaluator #1'!C8</f>
        <v>0.1</v>
      </c>
      <c r="D8" s="5">
        <v>0</v>
      </c>
      <c r="E8" s="2">
        <f t="shared" si="0"/>
        <v>0</v>
      </c>
      <c r="F8" s="5">
        <v>0</v>
      </c>
      <c r="G8" s="2">
        <f t="shared" si="1"/>
        <v>0</v>
      </c>
      <c r="H8" s="5"/>
      <c r="I8" s="2">
        <f t="shared" si="2"/>
        <v>0</v>
      </c>
      <c r="J8" s="5"/>
      <c r="K8" s="2">
        <f t="shared" si="3"/>
        <v>0</v>
      </c>
    </row>
    <row r="9" spans="2:16" ht="44.25" customHeight="1" x14ac:dyDescent="0.25">
      <c r="B9" s="31" t="str">
        <f>'Evaluator #1'!B9</f>
        <v>(4)Proposed Meal Count and Financial Targets: If the FSMCs are proposing increase in meal counts and income in their proposals, are they realistic? Consider, if their plans for achieving these goals are practical and reasonable</v>
      </c>
      <c r="C9" s="30">
        <f>'Evaluator #1'!C9</f>
        <v>0.1</v>
      </c>
      <c r="D9" s="5">
        <v>0</v>
      </c>
      <c r="E9" s="2">
        <f t="shared" si="0"/>
        <v>0</v>
      </c>
      <c r="F9" s="5">
        <v>0</v>
      </c>
      <c r="G9" s="2">
        <f t="shared" si="1"/>
        <v>0</v>
      </c>
      <c r="H9" s="5"/>
      <c r="I9" s="2">
        <f t="shared" si="2"/>
        <v>0</v>
      </c>
      <c r="J9" s="5"/>
      <c r="K9" s="2">
        <f t="shared" si="3"/>
        <v>0</v>
      </c>
    </row>
    <row r="10" spans="2:16" ht="45" customHeight="1" x14ac:dyDescent="0.25">
      <c r="B10" s="31" t="str">
        <f>'Evaluator #1'!B10</f>
        <v>(5) Corporate Capability and Experience: some measures can include performance record, years in the industry, client retention, references and  financial condition of the FSMC</v>
      </c>
      <c r="C10" s="30">
        <f>'Evaluator #1'!C10</f>
        <v>0.25</v>
      </c>
      <c r="D10" s="5">
        <v>0</v>
      </c>
      <c r="E10" s="2">
        <f t="shared" si="0"/>
        <v>0</v>
      </c>
      <c r="F10" s="5">
        <v>0</v>
      </c>
      <c r="G10" s="2">
        <f t="shared" si="1"/>
        <v>0</v>
      </c>
      <c r="H10" s="5"/>
      <c r="I10" s="2">
        <f t="shared" si="2"/>
        <v>0</v>
      </c>
      <c r="J10" s="5"/>
      <c r="K10" s="2">
        <f t="shared" si="3"/>
        <v>0</v>
      </c>
    </row>
    <row r="11" spans="2:16" ht="47.25" customHeight="1" x14ac:dyDescent="0.25">
      <c r="B11" s="32" t="str">
        <f>'Evaluator #1'!B11</f>
        <v>(6)</v>
      </c>
      <c r="C11" s="30">
        <f>'Evaluator #1'!C11</f>
        <v>0</v>
      </c>
      <c r="D11" s="5"/>
      <c r="E11" s="9">
        <f t="shared" si="0"/>
        <v>0</v>
      </c>
      <c r="F11" s="5"/>
      <c r="G11" s="9">
        <f t="shared" si="1"/>
        <v>0</v>
      </c>
      <c r="H11" s="5"/>
      <c r="I11" s="9">
        <f t="shared" si="2"/>
        <v>0</v>
      </c>
      <c r="J11" s="5"/>
      <c r="K11" s="9">
        <f t="shared" si="3"/>
        <v>0</v>
      </c>
    </row>
    <row r="12" spans="2:16" ht="45.75" customHeight="1" x14ac:dyDescent="0.25">
      <c r="B12" s="32" t="str">
        <f>'Evaluator #1'!B12</f>
        <v>(7)</v>
      </c>
      <c r="C12" s="30">
        <f>'Evaluator #1'!C12</f>
        <v>0</v>
      </c>
      <c r="D12" s="5"/>
      <c r="E12" s="9">
        <f t="shared" si="0"/>
        <v>0</v>
      </c>
      <c r="F12" s="5"/>
      <c r="G12" s="9">
        <f t="shared" si="1"/>
        <v>0</v>
      </c>
      <c r="H12" s="5"/>
      <c r="I12" s="9">
        <f t="shared" si="2"/>
        <v>0</v>
      </c>
      <c r="J12" s="5"/>
      <c r="K12" s="9">
        <f t="shared" si="3"/>
        <v>0</v>
      </c>
    </row>
    <row r="13" spans="2:16" ht="30" customHeight="1" thickBot="1" x14ac:dyDescent="0.3">
      <c r="B13" s="16" t="s">
        <v>7</v>
      </c>
      <c r="C13" s="15">
        <f>SUM(C6, C7, C8, C9, C10, C11, C12)</f>
        <v>1</v>
      </c>
      <c r="D13" s="3"/>
      <c r="E13" s="4">
        <f>+SUM(E6, E7, E8, E9, E10, E11, E12)</f>
        <v>0</v>
      </c>
      <c r="F13" s="3"/>
      <c r="G13" s="4">
        <f>SUM(G6, G7, G8, G9, G10, G11, G12)</f>
        <v>0</v>
      </c>
      <c r="H13" s="3"/>
      <c r="I13" s="4">
        <f>SUM(I6, I7, I8, I9, I10, I11, I12)</f>
        <v>0</v>
      </c>
      <c r="J13" s="3"/>
      <c r="K13" s="4">
        <f>SUM(K6, K7, K8, K9, K10, K11, K12)</f>
        <v>0</v>
      </c>
    </row>
    <row r="14" spans="2:16" ht="9" customHeight="1" x14ac:dyDescent="0.25"/>
    <row r="15" spans="2:16" ht="9" customHeight="1" thickBot="1" x14ac:dyDescent="0.3"/>
    <row r="16" spans="2:16" x14ac:dyDescent="0.25">
      <c r="B16" s="90" t="s">
        <v>28</v>
      </c>
      <c r="C16" s="91"/>
      <c r="D16" s="91"/>
      <c r="E16" s="91"/>
      <c r="F16" s="91"/>
      <c r="G16" s="91"/>
      <c r="H16" s="91"/>
      <c r="I16" s="91"/>
      <c r="J16" s="91"/>
      <c r="K16" s="92"/>
    </row>
    <row r="17" spans="2:11" ht="15.75" thickBot="1" x14ac:dyDescent="0.3">
      <c r="B17" s="93"/>
      <c r="C17" s="94"/>
      <c r="D17" s="94"/>
      <c r="E17" s="94"/>
      <c r="F17" s="94"/>
      <c r="G17" s="94"/>
      <c r="H17" s="94"/>
      <c r="I17" s="94"/>
      <c r="J17" s="94"/>
      <c r="K17" s="95"/>
    </row>
    <row r="18" spans="2:11" x14ac:dyDescent="0.25">
      <c r="B18" s="54" t="s">
        <v>29</v>
      </c>
      <c r="C18" s="55"/>
      <c r="D18" s="55"/>
      <c r="E18" s="55"/>
      <c r="F18" s="55"/>
      <c r="G18" s="55"/>
      <c r="H18" s="55"/>
      <c r="I18" s="55"/>
      <c r="J18" s="55"/>
      <c r="K18" s="56"/>
    </row>
    <row r="19" spans="2:11" ht="10.5" customHeight="1" x14ac:dyDescent="0.25">
      <c r="B19" s="57"/>
      <c r="C19" s="58"/>
      <c r="D19" s="58"/>
      <c r="E19" s="58"/>
      <c r="F19" s="58"/>
      <c r="G19" s="58"/>
      <c r="H19" s="58"/>
      <c r="I19" s="58"/>
      <c r="J19" s="58"/>
      <c r="K19" s="59"/>
    </row>
    <row r="20" spans="2:11" ht="15.75" thickBot="1" x14ac:dyDescent="0.3">
      <c r="B20" s="60"/>
      <c r="C20" s="61"/>
      <c r="D20" s="61"/>
      <c r="E20" s="61"/>
      <c r="F20" s="61"/>
      <c r="G20" s="61"/>
      <c r="H20" s="61"/>
      <c r="I20" s="61"/>
      <c r="J20" s="61"/>
      <c r="K20" s="62"/>
    </row>
    <row r="21" spans="2:11" x14ac:dyDescent="0.25">
      <c r="B21" s="54" t="s">
        <v>27</v>
      </c>
      <c r="C21" s="55"/>
      <c r="D21" s="55"/>
      <c r="E21" s="55"/>
      <c r="F21" s="55"/>
      <c r="G21" s="55"/>
      <c r="H21" s="55"/>
      <c r="I21" s="55"/>
      <c r="J21" s="55"/>
      <c r="K21" s="56"/>
    </row>
    <row r="22" spans="2:11" x14ac:dyDescent="0.25">
      <c r="B22" s="57"/>
      <c r="C22" s="58"/>
      <c r="D22" s="58"/>
      <c r="E22" s="58"/>
      <c r="F22" s="58"/>
      <c r="G22" s="58"/>
      <c r="H22" s="58"/>
      <c r="I22" s="58"/>
      <c r="J22" s="58"/>
      <c r="K22" s="59"/>
    </row>
    <row r="23" spans="2:11" ht="15.75" thickBot="1" x14ac:dyDescent="0.3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x14ac:dyDescent="0.25">
      <c r="B24" s="54" t="s">
        <v>30</v>
      </c>
      <c r="C24" s="55"/>
      <c r="D24" s="55"/>
      <c r="E24" s="55"/>
      <c r="F24" s="55"/>
      <c r="G24" s="55"/>
      <c r="H24" s="55"/>
      <c r="I24" s="55"/>
      <c r="J24" s="55"/>
      <c r="K24" s="56"/>
    </row>
    <row r="25" spans="2:11" x14ac:dyDescent="0.25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10.5" customHeight="1" thickBot="1" x14ac:dyDescent="0.3">
      <c r="B26" s="60"/>
      <c r="C26" s="61"/>
      <c r="D26" s="61"/>
      <c r="E26" s="61"/>
      <c r="F26" s="61"/>
      <c r="G26" s="61"/>
      <c r="H26" s="61"/>
      <c r="I26" s="61"/>
      <c r="J26" s="61"/>
      <c r="K26" s="62"/>
    </row>
  </sheetData>
  <mergeCells count="10">
    <mergeCell ref="M5:P6"/>
    <mergeCell ref="B16:K17"/>
    <mergeCell ref="B18:K20"/>
    <mergeCell ref="B21:K23"/>
    <mergeCell ref="B24:K26"/>
    <mergeCell ref="B3:C3"/>
    <mergeCell ref="D3:E3"/>
    <mergeCell ref="F3:G3"/>
    <mergeCell ref="H3:I3"/>
    <mergeCell ref="J3:K3"/>
  </mergeCells>
  <pageMargins left="0.7" right="0.7" top="0.75" bottom="0.75" header="0.3" footer="0.3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P26"/>
  <sheetViews>
    <sheetView topLeftCell="A2" zoomScaleNormal="100" workbookViewId="0">
      <selection activeCell="F6" sqref="F6"/>
    </sheetView>
  </sheetViews>
  <sheetFormatPr defaultRowHeight="15" x14ac:dyDescent="0.25"/>
  <cols>
    <col min="1" max="1" width="3.85546875" customWidth="1"/>
    <col min="2" max="2" width="68.85546875" customWidth="1"/>
    <col min="3" max="3" width="11.7109375" customWidth="1"/>
    <col min="4" max="4" width="8.7109375" customWidth="1"/>
    <col min="5" max="5" width="9.28515625" customWidth="1"/>
    <col min="6" max="6" width="9.140625" customWidth="1"/>
    <col min="7" max="7" width="8.85546875" customWidth="1"/>
    <col min="8" max="8" width="8.7109375" customWidth="1"/>
    <col min="9" max="9" width="9.140625" customWidth="1"/>
    <col min="10" max="10" width="9.28515625" customWidth="1"/>
    <col min="11" max="11" width="8.7109375" customWidth="1"/>
    <col min="12" max="12" width="5.42578125" customWidth="1"/>
    <col min="15" max="15" width="7" customWidth="1"/>
    <col min="16" max="16" width="8" customWidth="1"/>
    <col min="17" max="17" width="6.7109375" customWidth="1"/>
    <col min="18" max="18" width="6.42578125" customWidth="1"/>
    <col min="19" max="19" width="7.7109375" customWidth="1"/>
    <col min="20" max="20" width="6.140625" customWidth="1"/>
    <col min="21" max="21" width="13.7109375" customWidth="1"/>
    <col min="22" max="22" width="6.42578125" customWidth="1"/>
    <col min="24" max="24" width="10.7109375" customWidth="1"/>
    <col min="29" max="29" width="13.140625" customWidth="1"/>
    <col min="30" max="30" width="11.28515625" customWidth="1"/>
    <col min="31" max="31" width="11.7109375" customWidth="1"/>
  </cols>
  <sheetData>
    <row r="1" spans="2:16" ht="15.75" thickBot="1" x14ac:dyDescent="0.3"/>
    <row r="2" spans="2:16" ht="30" customHeight="1" thickBot="1" x14ac:dyDescent="0.3">
      <c r="B2" s="43"/>
      <c r="C2" s="39"/>
      <c r="D2" s="39"/>
      <c r="E2" s="39"/>
      <c r="F2" s="39"/>
      <c r="G2" s="39"/>
      <c r="H2" s="39"/>
      <c r="I2" s="39"/>
      <c r="J2" s="39"/>
      <c r="K2" s="40"/>
    </row>
    <row r="3" spans="2:16" x14ac:dyDescent="0.25">
      <c r="B3" s="49"/>
      <c r="C3" s="50"/>
      <c r="D3" s="111" t="str">
        <f>+'Evaluator #1'!D3:E3</f>
        <v>Whitson</v>
      </c>
      <c r="E3" s="112"/>
      <c r="F3" s="111" t="str">
        <f>+'Evaluator #1'!F3:G3</f>
        <v>Nutri-Serve</v>
      </c>
      <c r="G3" s="112"/>
      <c r="H3" s="111" t="str">
        <f>+'Evaluator #1'!H3:I3</f>
        <v>SFE</v>
      </c>
      <c r="I3" s="112"/>
      <c r="J3" s="111" t="str">
        <f>+'Evaluator #1'!J3:K3</f>
        <v>Chartwells</v>
      </c>
      <c r="K3" s="112"/>
    </row>
    <row r="4" spans="2:16" x14ac:dyDescent="0.25">
      <c r="B4" s="37"/>
      <c r="C4" s="38"/>
      <c r="D4" s="41"/>
      <c r="E4" s="42"/>
      <c r="F4" s="41"/>
      <c r="G4" s="42"/>
      <c r="H4" s="41"/>
      <c r="I4" s="42"/>
      <c r="J4" s="41"/>
      <c r="K4" s="42"/>
    </row>
    <row r="5" spans="2:16" ht="30" customHeight="1" x14ac:dyDescent="0.25">
      <c r="B5" s="12" t="s">
        <v>0</v>
      </c>
      <c r="C5" s="13" t="s">
        <v>1</v>
      </c>
      <c r="D5" s="12" t="s">
        <v>2</v>
      </c>
      <c r="E5" s="14" t="s">
        <v>3</v>
      </c>
      <c r="F5" s="12" t="s">
        <v>2</v>
      </c>
      <c r="G5" s="14" t="s">
        <v>3</v>
      </c>
      <c r="H5" s="12" t="s">
        <v>2</v>
      </c>
      <c r="I5" s="14" t="s">
        <v>3</v>
      </c>
      <c r="J5" s="12" t="s">
        <v>2</v>
      </c>
      <c r="K5" s="14" t="s">
        <v>3</v>
      </c>
      <c r="L5" s="1"/>
      <c r="M5" s="113" t="s">
        <v>36</v>
      </c>
      <c r="N5" s="106"/>
      <c r="O5" s="106"/>
      <c r="P5" s="106"/>
    </row>
    <row r="6" spans="2:16" ht="45" x14ac:dyDescent="0.25">
      <c r="B6" s="11" t="s">
        <v>10</v>
      </c>
      <c r="C6" s="30">
        <f>'Evaluator #1'!C6</f>
        <v>0.3</v>
      </c>
      <c r="D6" s="5">
        <v>0</v>
      </c>
      <c r="E6" s="2">
        <f t="shared" ref="E6:E12" si="0">(C6*D6)</f>
        <v>0</v>
      </c>
      <c r="F6" s="5">
        <v>0</v>
      </c>
      <c r="G6" s="2">
        <f t="shared" ref="G6:G12" si="1">(C6*F6)</f>
        <v>0</v>
      </c>
      <c r="H6" s="5"/>
      <c r="I6" s="2">
        <f t="shared" ref="I6:I12" si="2">(C6*H6)</f>
        <v>0</v>
      </c>
      <c r="J6" s="5"/>
      <c r="K6" s="2">
        <f t="shared" ref="K6:K12" si="3">(C6*J6)</f>
        <v>0</v>
      </c>
      <c r="M6" s="106"/>
      <c r="N6" s="106"/>
      <c r="O6" s="106"/>
      <c r="P6" s="106"/>
    </row>
    <row r="7" spans="2:16" ht="42.75" customHeight="1" x14ac:dyDescent="0.25">
      <c r="B7" s="31" t="str">
        <f>'Evaluator #1'!B7</f>
        <v>(2)Guaranteed Return: points awarded will be based upon the highest unlimited guaranteed return receiving the most points with decreasing points for each FSMC's lower guaranteed return</v>
      </c>
      <c r="C7" s="30">
        <f>'Evaluator #1'!C7</f>
        <v>0.25</v>
      </c>
      <c r="D7" s="5"/>
      <c r="E7" s="2">
        <f t="shared" si="0"/>
        <v>0</v>
      </c>
      <c r="F7" s="5"/>
      <c r="G7" s="2">
        <f t="shared" si="1"/>
        <v>0</v>
      </c>
      <c r="H7" s="5"/>
      <c r="I7" s="2">
        <f t="shared" si="2"/>
        <v>0</v>
      </c>
      <c r="J7" s="5"/>
      <c r="K7" s="2">
        <f t="shared" si="3"/>
        <v>0</v>
      </c>
    </row>
    <row r="8" spans="2:16" ht="45.75" customHeight="1" x14ac:dyDescent="0.25">
      <c r="B8" s="31" t="str">
        <f>'Evaluator #1'!B8</f>
        <v>(3)Menu: Consider the FSMC's 21- day cycle menu for variety, student acceptability, number and kinds of choices available and a la carte selections</v>
      </c>
      <c r="C8" s="30">
        <f>'Evaluator #1'!C8</f>
        <v>0.1</v>
      </c>
      <c r="D8" s="5"/>
      <c r="E8" s="2">
        <f t="shared" si="0"/>
        <v>0</v>
      </c>
      <c r="F8" s="5"/>
      <c r="G8" s="2">
        <f t="shared" si="1"/>
        <v>0</v>
      </c>
      <c r="H8" s="5"/>
      <c r="I8" s="2">
        <f t="shared" si="2"/>
        <v>0</v>
      </c>
      <c r="J8" s="5"/>
      <c r="K8" s="2">
        <f t="shared" si="3"/>
        <v>0</v>
      </c>
    </row>
    <row r="9" spans="2:16" ht="44.25" customHeight="1" x14ac:dyDescent="0.25">
      <c r="B9" s="31" t="str">
        <f>'Evaluator #1'!B9</f>
        <v>(4)Proposed Meal Count and Financial Targets: If the FSMCs are proposing increase in meal counts and income in their proposals, are they realistic? Consider, if their plans for achieving these goals are practical and reasonable</v>
      </c>
      <c r="C9" s="30">
        <f>'Evaluator #1'!C9</f>
        <v>0.1</v>
      </c>
      <c r="D9" s="5"/>
      <c r="E9" s="2">
        <f t="shared" si="0"/>
        <v>0</v>
      </c>
      <c r="F9" s="5"/>
      <c r="G9" s="2">
        <f t="shared" si="1"/>
        <v>0</v>
      </c>
      <c r="H9" s="5"/>
      <c r="I9" s="2">
        <f t="shared" si="2"/>
        <v>0</v>
      </c>
      <c r="J9" s="5"/>
      <c r="K9" s="2">
        <f t="shared" si="3"/>
        <v>0</v>
      </c>
    </row>
    <row r="10" spans="2:16" ht="45" customHeight="1" x14ac:dyDescent="0.25">
      <c r="B10" s="31" t="str">
        <f>'Evaluator #1'!B10</f>
        <v>(5) Corporate Capability and Experience: some measures can include performance record, years in the industry, client retention, references and  financial condition of the FSMC</v>
      </c>
      <c r="C10" s="30">
        <f>'Evaluator #1'!C10</f>
        <v>0.25</v>
      </c>
      <c r="D10" s="5"/>
      <c r="E10" s="2">
        <f t="shared" si="0"/>
        <v>0</v>
      </c>
      <c r="F10" s="5"/>
      <c r="G10" s="2">
        <f t="shared" si="1"/>
        <v>0</v>
      </c>
      <c r="H10" s="5"/>
      <c r="I10" s="2">
        <f t="shared" si="2"/>
        <v>0</v>
      </c>
      <c r="J10" s="5"/>
      <c r="K10" s="2">
        <f t="shared" si="3"/>
        <v>0</v>
      </c>
    </row>
    <row r="11" spans="2:16" ht="47.25" customHeight="1" x14ac:dyDescent="0.25">
      <c r="B11" s="32" t="str">
        <f>'Evaluator #1'!B11</f>
        <v>(6)</v>
      </c>
      <c r="C11" s="30">
        <f>'Evaluator #1'!C11</f>
        <v>0</v>
      </c>
      <c r="D11" s="5"/>
      <c r="E11" s="9">
        <f t="shared" si="0"/>
        <v>0</v>
      </c>
      <c r="F11" s="5"/>
      <c r="G11" s="9">
        <f t="shared" si="1"/>
        <v>0</v>
      </c>
      <c r="H11" s="5"/>
      <c r="I11" s="9">
        <f t="shared" si="2"/>
        <v>0</v>
      </c>
      <c r="J11" s="5"/>
      <c r="K11" s="9">
        <f t="shared" si="3"/>
        <v>0</v>
      </c>
    </row>
    <row r="12" spans="2:16" ht="45.75" customHeight="1" x14ac:dyDescent="0.25">
      <c r="B12" s="32" t="str">
        <f>'Evaluator #1'!B12</f>
        <v>(7)</v>
      </c>
      <c r="C12" s="30">
        <f>'Evaluator #1'!C12</f>
        <v>0</v>
      </c>
      <c r="D12" s="5"/>
      <c r="E12" s="9">
        <f t="shared" si="0"/>
        <v>0</v>
      </c>
      <c r="F12" s="5"/>
      <c r="G12" s="9">
        <f t="shared" si="1"/>
        <v>0</v>
      </c>
      <c r="H12" s="5"/>
      <c r="I12" s="9">
        <f t="shared" si="2"/>
        <v>0</v>
      </c>
      <c r="J12" s="5"/>
      <c r="K12" s="9">
        <f t="shared" si="3"/>
        <v>0</v>
      </c>
    </row>
    <row r="13" spans="2:16" ht="30" customHeight="1" thickBot="1" x14ac:dyDescent="0.3">
      <c r="B13" s="16" t="s">
        <v>7</v>
      </c>
      <c r="C13" s="15">
        <f>SUM(C6, C7, C8, C9, C10, C11, C12)</f>
        <v>1</v>
      </c>
      <c r="D13" s="3"/>
      <c r="E13" s="4">
        <f>+SUM(E6, E7, E8, E9, E10, E11, E12)</f>
        <v>0</v>
      </c>
      <c r="F13" s="3"/>
      <c r="G13" s="4">
        <f>SUM(G6, G7, G8, G9, G10, G11, G12)</f>
        <v>0</v>
      </c>
      <c r="H13" s="3"/>
      <c r="I13" s="4">
        <f>SUM(I6, I7, I8, I9, I10, I11, I12)</f>
        <v>0</v>
      </c>
      <c r="J13" s="3"/>
      <c r="K13" s="4">
        <f>SUM(K6, K7, K8, K9, K10, K11, K12)</f>
        <v>0</v>
      </c>
    </row>
    <row r="14" spans="2:16" ht="9" customHeight="1" x14ac:dyDescent="0.25"/>
    <row r="15" spans="2:16" ht="9" customHeight="1" thickBot="1" x14ac:dyDescent="0.3"/>
    <row r="16" spans="2:16" x14ac:dyDescent="0.25">
      <c r="B16" s="90" t="s">
        <v>28</v>
      </c>
      <c r="C16" s="91"/>
      <c r="D16" s="91"/>
      <c r="E16" s="91"/>
      <c r="F16" s="91"/>
      <c r="G16" s="91"/>
      <c r="H16" s="91"/>
      <c r="I16" s="91"/>
      <c r="J16" s="91"/>
      <c r="K16" s="92"/>
    </row>
    <row r="17" spans="2:11" ht="15.75" thickBot="1" x14ac:dyDescent="0.3">
      <c r="B17" s="93"/>
      <c r="C17" s="94"/>
      <c r="D17" s="94"/>
      <c r="E17" s="94"/>
      <c r="F17" s="94"/>
      <c r="G17" s="94"/>
      <c r="H17" s="94"/>
      <c r="I17" s="94"/>
      <c r="J17" s="94"/>
      <c r="K17" s="95"/>
    </row>
    <row r="18" spans="2:11" x14ac:dyDescent="0.25">
      <c r="B18" s="54" t="s">
        <v>29</v>
      </c>
      <c r="C18" s="55"/>
      <c r="D18" s="55"/>
      <c r="E18" s="55"/>
      <c r="F18" s="55"/>
      <c r="G18" s="55"/>
      <c r="H18" s="55"/>
      <c r="I18" s="55"/>
      <c r="J18" s="55"/>
      <c r="K18" s="56"/>
    </row>
    <row r="19" spans="2:11" ht="10.5" customHeight="1" x14ac:dyDescent="0.25">
      <c r="B19" s="57"/>
      <c r="C19" s="58"/>
      <c r="D19" s="58"/>
      <c r="E19" s="58"/>
      <c r="F19" s="58"/>
      <c r="G19" s="58"/>
      <c r="H19" s="58"/>
      <c r="I19" s="58"/>
      <c r="J19" s="58"/>
      <c r="K19" s="59"/>
    </row>
    <row r="20" spans="2:11" ht="15.75" thickBot="1" x14ac:dyDescent="0.3">
      <c r="B20" s="60"/>
      <c r="C20" s="61"/>
      <c r="D20" s="61"/>
      <c r="E20" s="61"/>
      <c r="F20" s="61"/>
      <c r="G20" s="61"/>
      <c r="H20" s="61"/>
      <c r="I20" s="61"/>
      <c r="J20" s="61"/>
      <c r="K20" s="62"/>
    </row>
    <row r="21" spans="2:11" x14ac:dyDescent="0.25">
      <c r="B21" s="54" t="s">
        <v>27</v>
      </c>
      <c r="C21" s="55"/>
      <c r="D21" s="55"/>
      <c r="E21" s="55"/>
      <c r="F21" s="55"/>
      <c r="G21" s="55"/>
      <c r="H21" s="55"/>
      <c r="I21" s="55"/>
      <c r="J21" s="55"/>
      <c r="K21" s="56"/>
    </row>
    <row r="22" spans="2:11" x14ac:dyDescent="0.25">
      <c r="B22" s="57"/>
      <c r="C22" s="58"/>
      <c r="D22" s="58"/>
      <c r="E22" s="58"/>
      <c r="F22" s="58"/>
      <c r="G22" s="58"/>
      <c r="H22" s="58"/>
      <c r="I22" s="58"/>
      <c r="J22" s="58"/>
      <c r="K22" s="59"/>
    </row>
    <row r="23" spans="2:11" ht="15.75" thickBot="1" x14ac:dyDescent="0.3">
      <c r="B23" s="60"/>
      <c r="C23" s="61"/>
      <c r="D23" s="61"/>
      <c r="E23" s="61"/>
      <c r="F23" s="61"/>
      <c r="G23" s="61"/>
      <c r="H23" s="61"/>
      <c r="I23" s="61"/>
      <c r="J23" s="61"/>
      <c r="K23" s="62"/>
    </row>
    <row r="24" spans="2:11" x14ac:dyDescent="0.25">
      <c r="B24" s="54" t="s">
        <v>30</v>
      </c>
      <c r="C24" s="55"/>
      <c r="D24" s="55"/>
      <c r="E24" s="55"/>
      <c r="F24" s="55"/>
      <c r="G24" s="55"/>
      <c r="H24" s="55"/>
      <c r="I24" s="55"/>
      <c r="J24" s="55"/>
      <c r="K24" s="56"/>
    </row>
    <row r="25" spans="2:11" x14ac:dyDescent="0.25">
      <c r="B25" s="57"/>
      <c r="C25" s="58"/>
      <c r="D25" s="58"/>
      <c r="E25" s="58"/>
      <c r="F25" s="58"/>
      <c r="G25" s="58"/>
      <c r="H25" s="58"/>
      <c r="I25" s="58"/>
      <c r="J25" s="58"/>
      <c r="K25" s="59"/>
    </row>
    <row r="26" spans="2:11" ht="10.5" customHeight="1" thickBot="1" x14ac:dyDescent="0.3">
      <c r="B26" s="60"/>
      <c r="C26" s="61"/>
      <c r="D26" s="61"/>
      <c r="E26" s="61"/>
      <c r="F26" s="61"/>
      <c r="G26" s="61"/>
      <c r="H26" s="61"/>
      <c r="I26" s="61"/>
      <c r="J26" s="61"/>
      <c r="K26" s="62"/>
    </row>
  </sheetData>
  <mergeCells count="10">
    <mergeCell ref="M5:P6"/>
    <mergeCell ref="B16:K17"/>
    <mergeCell ref="B18:K20"/>
    <mergeCell ref="B21:K23"/>
    <mergeCell ref="B24:K26"/>
    <mergeCell ref="B3:C3"/>
    <mergeCell ref="D3:E3"/>
    <mergeCell ref="F3:G3"/>
    <mergeCell ref="H3:I3"/>
    <mergeCell ref="J3:K3"/>
  </mergeCells>
  <pageMargins left="0.7" right="0.7" top="0.75" bottom="0.75" header="0.3" footer="0.3"/>
  <pageSetup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26"/>
  <sheetViews>
    <sheetView zoomScaleNormal="100" workbookViewId="0">
      <selection activeCell="D6" sqref="D6"/>
    </sheetView>
  </sheetViews>
  <sheetFormatPr defaultRowHeight="15" x14ac:dyDescent="0.25"/>
  <cols>
    <col min="1" max="1" width="4.42578125" customWidth="1"/>
    <col min="2" max="2" width="21.140625" customWidth="1"/>
    <col min="3" max="4" width="15.140625" customWidth="1"/>
    <col min="5" max="6" width="13.85546875" customWidth="1"/>
    <col min="7" max="7" width="9.140625" customWidth="1"/>
    <col min="8" max="8" width="18.140625" customWidth="1"/>
    <col min="9" max="9" width="18.28515625" customWidth="1"/>
    <col min="10" max="10" width="16.7109375" customWidth="1"/>
    <col min="11" max="11" width="13.85546875" customWidth="1"/>
    <col min="12" max="12" width="3.42578125" customWidth="1"/>
    <col min="19" max="19" width="3.140625" customWidth="1"/>
  </cols>
  <sheetData>
    <row r="1" spans="2:6" ht="15.75" thickBot="1" x14ac:dyDescent="0.3"/>
    <row r="2" spans="2:6" ht="26.25" customHeight="1" x14ac:dyDescent="0.25">
      <c r="B2" s="116" t="s">
        <v>16</v>
      </c>
      <c r="C2" s="117"/>
      <c r="D2" s="117"/>
      <c r="E2" s="117"/>
      <c r="F2" s="118"/>
    </row>
    <row r="3" spans="2:6" ht="32.25" customHeight="1" x14ac:dyDescent="0.25">
      <c r="B3" s="7" t="s">
        <v>5</v>
      </c>
      <c r="C3" s="20" t="s">
        <v>54</v>
      </c>
      <c r="D3" s="21" t="s">
        <v>41</v>
      </c>
      <c r="E3" s="22" t="s">
        <v>51</v>
      </c>
      <c r="F3" s="23" t="s">
        <v>52</v>
      </c>
    </row>
    <row r="4" spans="2:6" ht="37.5" customHeight="1" x14ac:dyDescent="0.25">
      <c r="B4" s="24" t="str">
        <f>'Evaluator #1'!C2</f>
        <v>Megan Ornstein</v>
      </c>
      <c r="C4" s="25">
        <f>'Evaluator #1'!E13</f>
        <v>2.8499999999999996</v>
      </c>
      <c r="D4" s="26">
        <f>'Evaluator #1'!G13</f>
        <v>4.4000000000000004</v>
      </c>
      <c r="E4" s="27">
        <f>+'Evaluator #1'!I13</f>
        <v>2.95</v>
      </c>
      <c r="F4" s="28">
        <f>'Evaluator #1'!K13</f>
        <v>3.05</v>
      </c>
    </row>
    <row r="5" spans="2:6" ht="34.5" customHeight="1" x14ac:dyDescent="0.25">
      <c r="B5" s="24" t="str">
        <f>'Evaluator #2'!C2</f>
        <v>Tom Guarascio</v>
      </c>
      <c r="C5" s="25">
        <f>'Evaluator #2'!E13</f>
        <v>3.35</v>
      </c>
      <c r="D5" s="26">
        <f>'Evaluator #2'!G13</f>
        <v>4.5999999999999996</v>
      </c>
      <c r="E5" s="27">
        <f>'Evaluator #2'!I13</f>
        <v>3.1999999999999997</v>
      </c>
      <c r="F5" s="28">
        <f>'Evaluator #2'!K13</f>
        <v>2.4500000000000002</v>
      </c>
    </row>
    <row r="6" spans="2:6" ht="36.75" customHeight="1" x14ac:dyDescent="0.25">
      <c r="B6" s="24" t="str">
        <f>'Evaluator #3'!C2</f>
        <v xml:space="preserve">Anne Marie Trethaway </v>
      </c>
      <c r="C6" s="25">
        <f>'Evaluator #3'!E13</f>
        <v>3.1</v>
      </c>
      <c r="D6" s="26">
        <f>'Evaluator #3'!G13</f>
        <v>4.7</v>
      </c>
      <c r="E6" s="27">
        <f>'Evaluator #3'!I13</f>
        <v>2.75</v>
      </c>
      <c r="F6" s="28">
        <f>'Evaluator #3'!K13</f>
        <v>2.2000000000000002</v>
      </c>
    </row>
    <row r="7" spans="2:6" ht="35.25" hidden="1" customHeight="1" x14ac:dyDescent="0.25">
      <c r="B7" s="24">
        <f>'Evaluator #4'!C2</f>
        <v>0</v>
      </c>
      <c r="C7" s="25">
        <f>'Evaluator #4'!E13</f>
        <v>0</v>
      </c>
      <c r="D7" s="26">
        <f>'Evaluator #4'!G13</f>
        <v>0</v>
      </c>
      <c r="E7" s="27">
        <f>'Evaluator #4'!I13</f>
        <v>0</v>
      </c>
      <c r="F7" s="28">
        <f>'Evaluator #4'!K13</f>
        <v>0</v>
      </c>
    </row>
    <row r="8" spans="2:6" ht="35.25" hidden="1" customHeight="1" x14ac:dyDescent="0.25">
      <c r="B8" s="24" t="s">
        <v>45</v>
      </c>
      <c r="C8" s="25">
        <f>'Evaluator #5'!E13</f>
        <v>0</v>
      </c>
      <c r="D8" s="26">
        <f>'Evaluator #5'!G13</f>
        <v>0</v>
      </c>
      <c r="E8" s="27">
        <f>'Evaluator #5'!I13</f>
        <v>0</v>
      </c>
      <c r="F8" s="28">
        <f>'Evaluator #5'!K13</f>
        <v>0</v>
      </c>
    </row>
    <row r="9" spans="2:6" ht="30.75" customHeight="1" x14ac:dyDescent="0.25">
      <c r="B9" s="7" t="s">
        <v>4</v>
      </c>
      <c r="C9" s="25">
        <f>SUM(C4, C5, C6, C7,C8)</f>
        <v>9.2999999999999989</v>
      </c>
      <c r="D9" s="26">
        <f>SUM(D4, D5, D6, D7,D8)</f>
        <v>13.7</v>
      </c>
      <c r="E9" s="27">
        <f>SUM(E4, E5, E6, E7)</f>
        <v>8.9</v>
      </c>
      <c r="F9" s="28">
        <f>SUM(F4, F5, F6, F7)</f>
        <v>7.7</v>
      </c>
    </row>
    <row r="10" spans="2:6" ht="21" customHeight="1" thickBot="1" x14ac:dyDescent="0.3">
      <c r="B10" s="8" t="s">
        <v>6</v>
      </c>
      <c r="C10" s="119">
        <f>C9/3</f>
        <v>3.0999999999999996</v>
      </c>
      <c r="D10" s="120">
        <f>D9/3</f>
        <v>4.5666666666666664</v>
      </c>
      <c r="E10" s="121">
        <f>+E9/3</f>
        <v>2.9666666666666668</v>
      </c>
      <c r="F10" s="122">
        <f>+F9/3</f>
        <v>2.5666666666666669</v>
      </c>
    </row>
    <row r="11" spans="2:6" ht="15" customHeight="1" x14ac:dyDescent="0.25"/>
    <row r="12" spans="2:6" ht="15" customHeight="1" x14ac:dyDescent="0.25"/>
    <row r="13" spans="2:6" ht="15" customHeight="1" x14ac:dyDescent="0.25"/>
    <row r="14" spans="2:6" ht="15" customHeight="1" x14ac:dyDescent="0.25"/>
    <row r="15" spans="2:6" ht="15" customHeight="1" x14ac:dyDescent="0.25"/>
    <row r="16" spans="2:6" ht="15" customHeight="1" x14ac:dyDescent="0.25"/>
    <row r="17" ht="15" customHeight="1" x14ac:dyDescent="0.25"/>
    <row r="18" ht="15" customHeight="1" x14ac:dyDescent="0.25"/>
    <row r="19" ht="15" customHeight="1" x14ac:dyDescent="0.25"/>
    <row r="26" ht="15.75" customHeight="1" x14ac:dyDescent="0.25"/>
  </sheetData>
  <mergeCells count="1">
    <mergeCell ref="B2:F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EXAMPLE SCORING</vt:lpstr>
      <vt:lpstr>Evaluator #1</vt:lpstr>
      <vt:lpstr>Evaluator #2</vt:lpstr>
      <vt:lpstr>Evaluator #3</vt:lpstr>
      <vt:lpstr>Evaluator #4</vt:lpstr>
      <vt:lpstr>Evaluator #5</vt:lpstr>
      <vt:lpstr>Totals</vt:lpstr>
      <vt:lpstr>'Evaluator #1'!Print_Area</vt:lpstr>
      <vt:lpstr>'Evaluator #2'!Print_Area</vt:lpstr>
      <vt:lpstr>'Evaluator #3'!Print_Area</vt:lpstr>
      <vt:lpstr>'Evaluator #4'!Print_Area</vt:lpstr>
      <vt:lpstr>Totals!Print_Area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Frank, Emily</dc:creator>
  <cp:lastModifiedBy>Tyler Verga</cp:lastModifiedBy>
  <cp:lastPrinted>2024-05-29T12:26:22Z</cp:lastPrinted>
  <dcterms:created xsi:type="dcterms:W3CDTF">2019-10-18T12:50:39Z</dcterms:created>
  <dcterms:modified xsi:type="dcterms:W3CDTF">2025-05-23T15:37:37Z</dcterms:modified>
</cp:coreProperties>
</file>