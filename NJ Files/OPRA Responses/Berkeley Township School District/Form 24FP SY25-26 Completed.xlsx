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24000" windowHeight="903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2" i="1" l="1"/>
  <c r="H32" i="1"/>
  <c r="J28" i="1" l="1"/>
  <c r="F32" i="1"/>
  <c r="D32" i="1"/>
  <c r="J34" i="1"/>
  <c r="J33" i="1"/>
  <c r="J31" i="1"/>
  <c r="J26" i="1"/>
  <c r="J25" i="1"/>
  <c r="J24" i="1"/>
  <c r="J23" i="1"/>
  <c r="J22" i="1"/>
  <c r="J20" i="1"/>
  <c r="J19" i="1"/>
  <c r="J18" i="1"/>
  <c r="J17" i="1"/>
  <c r="J16" i="1"/>
  <c r="J14" i="1"/>
  <c r="J13" i="1"/>
  <c r="J12" i="1"/>
  <c r="J11" i="1"/>
  <c r="J10" i="1"/>
  <c r="J9" i="1"/>
  <c r="H34" i="1"/>
  <c r="H33" i="1"/>
  <c r="H31" i="1"/>
  <c r="H26" i="1"/>
  <c r="H25" i="1"/>
  <c r="H24" i="1"/>
  <c r="H23" i="1"/>
  <c r="H22" i="1"/>
  <c r="H20" i="1"/>
  <c r="H19" i="1"/>
  <c r="H18" i="1"/>
  <c r="H17" i="1"/>
  <c r="H16" i="1"/>
  <c r="H13" i="1"/>
  <c r="H12" i="1"/>
  <c r="H11" i="1"/>
  <c r="H10" i="1"/>
  <c r="H9" i="1"/>
  <c r="F34" i="1"/>
  <c r="F33" i="1"/>
  <c r="F31" i="1"/>
  <c r="F26" i="1"/>
  <c r="F25" i="1"/>
  <c r="F24" i="1"/>
  <c r="F23" i="1"/>
  <c r="F22" i="1"/>
  <c r="F20" i="1"/>
  <c r="F19" i="1"/>
  <c r="F18" i="1"/>
  <c r="F17" i="1"/>
  <c r="F16" i="1"/>
  <c r="F14" i="1"/>
  <c r="F13" i="1"/>
  <c r="F12" i="1"/>
  <c r="F11" i="1"/>
  <c r="F10" i="1"/>
  <c r="F9" i="1"/>
  <c r="D34" i="1"/>
  <c r="D33" i="1"/>
  <c r="D31" i="1"/>
  <c r="D26" i="1"/>
  <c r="D25" i="1"/>
  <c r="D24" i="1"/>
  <c r="D23" i="1"/>
  <c r="D22" i="1"/>
  <c r="D20" i="1"/>
  <c r="D19" i="1"/>
  <c r="D18" i="1"/>
  <c r="D17" i="1"/>
  <c r="D16" i="1"/>
  <c r="D14" i="1"/>
  <c r="D13" i="1"/>
  <c r="D12" i="1"/>
  <c r="D11" i="1"/>
  <c r="D10" i="1"/>
  <c r="D9" i="1"/>
  <c r="D28" i="1" l="1"/>
  <c r="F28" i="1"/>
  <c r="H28" i="1"/>
  <c r="H14" i="1"/>
</calcChain>
</file>

<file path=xl/sharedStrings.xml><?xml version="1.0" encoding="utf-8"?>
<sst xmlns="http://schemas.openxmlformats.org/spreadsheetml/2006/main" count="84" uniqueCount="66">
  <si>
    <t>FSMC Name:</t>
  </si>
  <si>
    <t>Evaluation Score</t>
  </si>
  <si>
    <t>MEALS</t>
  </si>
  <si>
    <t>Total Lunch Meals</t>
  </si>
  <si>
    <t>Total Breakfast Meals</t>
  </si>
  <si>
    <t>Total Snack Meals</t>
  </si>
  <si>
    <t>A la Carte Sales $$$</t>
  </si>
  <si>
    <t>*A la Carte Meals</t>
  </si>
  <si>
    <t>Total Meals</t>
  </si>
  <si>
    <t>CACFP Breakfast Meals</t>
  </si>
  <si>
    <t>CACFP Lunch Meals</t>
  </si>
  <si>
    <t>CACFP Dinner Meals</t>
  </si>
  <si>
    <t>CACFP Snack Meals</t>
  </si>
  <si>
    <t>Total CACFP Meals</t>
  </si>
  <si>
    <t>SFSP Breakfast Meals</t>
  </si>
  <si>
    <t>SFSP Lunch Meals</t>
  </si>
  <si>
    <t>SFSP Supplement Meals</t>
  </si>
  <si>
    <t>SFSP Dinner Meals</t>
  </si>
  <si>
    <t>Total SFSP Meals</t>
  </si>
  <si>
    <t>TOTAL MEALS</t>
  </si>
  <si>
    <t>INCOME</t>
  </si>
  <si>
    <t>Total Cash Sales</t>
  </si>
  <si>
    <t>Total Reimbursement</t>
  </si>
  <si>
    <t>Total Income</t>
  </si>
  <si>
    <t xml:space="preserve">MEAL RATE/COST </t>
  </si>
  <si>
    <t>BREAKFAST</t>
  </si>
  <si>
    <t>LUNCH/DINNER</t>
  </si>
  <si>
    <t>SNACK</t>
  </si>
  <si>
    <t>A LA CARTE</t>
  </si>
  <si>
    <t>NSLP PROGRAM COST</t>
  </si>
  <si>
    <t>SUPPLEMENT</t>
  </si>
  <si>
    <t>CACFP PROGRAM COST</t>
  </si>
  <si>
    <t>SFSP PROGRAM COST</t>
  </si>
  <si>
    <t>CAT.&amp;SFA-SFA FOOD</t>
  </si>
  <si>
    <t>CAT.&amp;SFA-SFA LABOR</t>
  </si>
  <si>
    <t>CAT.&amp;SFA-SFA SUPPLIES</t>
  </si>
  <si>
    <t>CAT. &amp; SFA-SFA OTHER</t>
  </si>
  <si>
    <t>CATERING &amp; SFA-SFA FEE</t>
  </si>
  <si>
    <t>CATERING &amp; SFA-SFA COST</t>
  </si>
  <si>
    <t>TOTAL COSTS</t>
  </si>
  <si>
    <r>
      <t xml:space="preserve">RETURN / </t>
    </r>
    <r>
      <rPr>
        <b/>
        <sz val="11"/>
        <color rgb="FFFF0000"/>
        <rFont val="Arial"/>
        <family val="2"/>
      </rPr>
      <t>LOSS</t>
    </r>
  </si>
  <si>
    <t>ESTIMATED COMMODITY CREDIT</t>
  </si>
  <si>
    <r>
      <t xml:space="preserve">RETURN/ </t>
    </r>
    <r>
      <rPr>
        <b/>
        <sz val="11"/>
        <color rgb="FFFF0000"/>
        <rFont val="Arial"/>
        <family val="2"/>
      </rPr>
      <t>LOSS</t>
    </r>
    <r>
      <rPr>
        <b/>
        <sz val="11"/>
        <color theme="1"/>
        <rFont val="Arial"/>
        <family val="2"/>
      </rPr>
      <t xml:space="preserve"> with COMMODITY CREDIT</t>
    </r>
  </si>
  <si>
    <t>Equipment Investment</t>
  </si>
  <si>
    <t>P/L with Equipment</t>
  </si>
  <si>
    <t>Instructions:</t>
  </si>
  <si>
    <t>Copy and Paste values of numbers from Form 23 (last page) for all FSMC's whose proposal is being considered for this RFP.</t>
  </si>
  <si>
    <r>
      <t xml:space="preserve">This Form should be prepared </t>
    </r>
    <r>
      <rPr>
        <b/>
        <u/>
        <sz val="12"/>
        <color theme="1"/>
        <rFont val="Arial Narrow"/>
        <family val="2"/>
      </rPr>
      <t>before</t>
    </r>
    <r>
      <rPr>
        <sz val="12"/>
        <color theme="1"/>
        <rFont val="Arial Narrow"/>
        <family val="2"/>
      </rPr>
      <t xml:space="preserve"> the evaluation team scores criteria so that members of the team can review all numbers presented in the proposal by each FSMC. It is important to know how the proposal for services relates to income and costs. </t>
    </r>
  </si>
  <si>
    <t>SFA should enter the evaluation scoring in the Yellow highlighted box for each FSMC before this form is returned to the State Agency.</t>
  </si>
  <si>
    <t>Percent of Change</t>
  </si>
  <si>
    <t>Form 24 FP</t>
  </si>
  <si>
    <t>Notes for State Agency: Justification is manditory if SFA did not select the FSMC with the lowest cost.</t>
  </si>
  <si>
    <t>Commissioned Vending Sales</t>
  </si>
  <si>
    <r>
      <t xml:space="preserve">Copy and Paste "values" of </t>
    </r>
    <r>
      <rPr>
        <b/>
        <u/>
        <sz val="12"/>
        <color theme="1"/>
        <rFont val="Arial Narrow"/>
        <family val="2"/>
      </rPr>
      <t>Meal Counts</t>
    </r>
    <r>
      <rPr>
        <sz val="12"/>
        <color theme="1"/>
        <rFont val="Arial Narrow"/>
        <family val="2"/>
      </rPr>
      <t xml:space="preserve"> and </t>
    </r>
    <r>
      <rPr>
        <b/>
        <u/>
        <sz val="12"/>
        <color theme="1"/>
        <rFont val="Arial Narrow"/>
        <family val="2"/>
      </rPr>
      <t>Income</t>
    </r>
    <r>
      <rPr>
        <sz val="12"/>
        <color theme="1"/>
        <rFont val="Arial Narrow"/>
        <family val="2"/>
      </rPr>
      <t xml:space="preserve"> from Form 372 (tab j) in column B. </t>
    </r>
  </si>
  <si>
    <t xml:space="preserve">Use Form 372 </t>
  </si>
  <si>
    <t>Form 24FP Tab</t>
  </si>
  <si>
    <t>Enter data from</t>
  </si>
  <si>
    <t>tab j on Form 372</t>
  </si>
  <si>
    <t>Form 23FP tab</t>
  </si>
  <si>
    <t>(page 10):</t>
  </si>
  <si>
    <r>
      <t>Meals</t>
    </r>
    <r>
      <rPr>
        <b/>
        <sz val="12"/>
        <color theme="1"/>
        <rFont val="Arial Narrow"/>
        <family val="2"/>
      </rPr>
      <t xml:space="preserve"> and </t>
    </r>
    <r>
      <rPr>
        <b/>
        <u/>
        <sz val="12"/>
        <color theme="1"/>
        <rFont val="Arial Narrow"/>
        <family val="2"/>
      </rPr>
      <t>Income</t>
    </r>
  </si>
  <si>
    <t>Nutri Serve</t>
  </si>
  <si>
    <t>Chartwells</t>
  </si>
  <si>
    <t>.</t>
  </si>
  <si>
    <t>Whitsons</t>
  </si>
  <si>
    <t>SFE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</si>
</sst>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_);[Red]\(&quot;$&quot;#,##0.00\)"/>
    <numFmt numFmtId="43" formatCode="_(* #,##0.00_);_(* \(#,##0.00\);_(* &quot;-&quot;??_);_(@_)"/>
    <numFmt numFmtId="164" formatCode="_(* #,##0_);_(* \(#,##0\);_(* &quot;-&quot;??_);_(@_)"/>
    <numFmt numFmtId="165" formatCode="&quot;$&quot;#,##0.00"/>
  </numFmts>
  <fonts count="14" x14ac:knownFonts="1">
    <font>
      <sz val="11"/>
      <color theme="1"/>
      <name val="Calibri"/>
      <family val="2"/>
      <scheme val="minor"/>
    </font>
    <font>
      <b/>
      <sz val="11"/>
      <color theme="1"/>
      <name val="Calibri"/>
      <family val="2"/>
      <scheme val="minor"/>
    </font>
    <font>
      <b/>
      <sz val="11"/>
      <color theme="1"/>
      <name val="Arial Narrow"/>
      <family val="2"/>
    </font>
    <font>
      <b/>
      <sz val="11"/>
      <color theme="1"/>
      <name val="Arial"/>
      <family val="2"/>
    </font>
    <font>
      <b/>
      <sz val="11"/>
      <color rgb="FFFF0000"/>
      <name val="Arial"/>
      <family val="2"/>
    </font>
    <font>
      <sz val="11"/>
      <color theme="1"/>
      <name val="Calibri"/>
      <family val="2"/>
      <scheme val="minor"/>
    </font>
    <font>
      <sz val="12"/>
      <color theme="1"/>
      <name val="Arial Narrow"/>
      <family val="2"/>
    </font>
    <font>
      <b/>
      <u/>
      <sz val="12"/>
      <color theme="1"/>
      <name val="Arial Narrow"/>
      <family val="2"/>
    </font>
    <font>
      <b/>
      <sz val="14"/>
      <color theme="1"/>
      <name val="Arial Narrow"/>
      <family val="2"/>
    </font>
    <font>
      <sz val="12"/>
      <name val="Arial Narrow"/>
      <family val="2"/>
    </font>
    <font>
      <sz val="12"/>
      <color theme="1"/>
      <name val="Calibri"/>
      <family val="2"/>
      <scheme val="minor"/>
    </font>
    <font>
      <b/>
      <u val="double"/>
      <sz val="12"/>
      <color theme="1"/>
      <name val="Arial Narrow"/>
      <family val="2"/>
    </font>
    <font>
      <sz val="11"/>
      <color theme="1"/>
      <name val="Arial Narrow"/>
      <family val="2"/>
    </font>
    <font>
      <b/>
      <sz val="12"/>
      <color theme="1"/>
      <name val="Arial Narrow"/>
      <family val="2"/>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DE3F7"/>
        <bgColor indexed="64"/>
      </patternFill>
    </fill>
  </fills>
  <borders count="31">
    <border>
      <left/>
      <right/>
      <top/>
      <bottom/>
      <diagonal/>
    </border>
    <border>
      <left style="medium">
        <color auto="1"/>
      </left>
      <right/>
      <top/>
      <bottom/>
      <diagonal/>
    </border>
    <border>
      <left style="medium">
        <color indexed="64"/>
      </left>
      <right/>
      <top/>
      <bottom style="thin">
        <color indexed="64"/>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99">
    <xf numFmtId="0" fontId="0" fillId="0" borderId="0" xfId="0"/>
    <xf numFmtId="0" fontId="2" fillId="0" borderId="1" xfId="0" applyFont="1" applyBorder="1"/>
    <xf numFmtId="0" fontId="2" fillId="0" borderId="1" xfId="0" applyFont="1" applyBorder="1" applyAlignment="1">
      <alignment horizontal="center"/>
    </xf>
    <xf numFmtId="0" fontId="2" fillId="0" borderId="2" xfId="0" applyFont="1" applyBorder="1" applyAlignment="1">
      <alignment horizontal="center"/>
    </xf>
    <xf numFmtId="0" fontId="1" fillId="0" borderId="1" xfId="0" applyFont="1" applyBorder="1"/>
    <xf numFmtId="0" fontId="1" fillId="0" borderId="0" xfId="0" applyFont="1"/>
    <xf numFmtId="0" fontId="6" fillId="0" borderId="0" xfId="0" applyFont="1" applyAlignment="1">
      <alignment horizontal="right" vertical="top"/>
    </xf>
    <xf numFmtId="0" fontId="6" fillId="0" borderId="0" xfId="0" applyFont="1" applyAlignment="1">
      <alignment horizontal="left" vertical="top"/>
    </xf>
    <xf numFmtId="0" fontId="6" fillId="0" borderId="0" xfId="0" applyFont="1"/>
    <xf numFmtId="0" fontId="6" fillId="0" borderId="1" xfId="0" applyFont="1" applyBorder="1"/>
    <xf numFmtId="0" fontId="10" fillId="0" borderId="0" xfId="0" applyFont="1"/>
    <xf numFmtId="0" fontId="2" fillId="2" borderId="18" xfId="0" applyFont="1" applyFill="1" applyBorder="1"/>
    <xf numFmtId="0" fontId="2" fillId="3" borderId="18" xfId="0" applyFont="1" applyFill="1" applyBorder="1"/>
    <xf numFmtId="0" fontId="2" fillId="4" borderId="18" xfId="0" applyFont="1" applyFill="1" applyBorder="1"/>
    <xf numFmtId="0" fontId="2" fillId="0" borderId="18" xfId="0" applyFont="1" applyBorder="1"/>
    <xf numFmtId="0" fontId="2" fillId="5" borderId="18" xfId="0" applyFont="1" applyFill="1" applyBorder="1"/>
    <xf numFmtId="0" fontId="3" fillId="0" borderId="18" xfId="0" applyFont="1" applyBorder="1"/>
    <xf numFmtId="0" fontId="3" fillId="0" borderId="18" xfId="0" applyFont="1" applyBorder="1" applyAlignment="1">
      <alignment horizontal="left" wrapText="1"/>
    </xf>
    <xf numFmtId="0" fontId="3" fillId="0" borderId="18" xfId="0" applyFont="1" applyBorder="1" applyAlignment="1">
      <alignment wrapText="1"/>
    </xf>
    <xf numFmtId="0" fontId="3" fillId="0" borderId="19" xfId="0" applyFont="1" applyBorder="1"/>
    <xf numFmtId="10" fontId="6" fillId="0" borderId="17" xfId="2" applyNumberFormat="1" applyFont="1" applyBorder="1" applyProtection="1"/>
    <xf numFmtId="10" fontId="6" fillId="0" borderId="17" xfId="0" applyNumberFormat="1" applyFont="1" applyBorder="1"/>
    <xf numFmtId="0" fontId="10" fillId="0" borderId="23" xfId="0" applyFont="1" applyBorder="1"/>
    <xf numFmtId="0" fontId="10" fillId="0" borderId="24" xfId="0" applyFont="1" applyBorder="1"/>
    <xf numFmtId="0" fontId="10" fillId="0" borderId="26" xfId="0" applyFont="1" applyBorder="1"/>
    <xf numFmtId="0" fontId="10" fillId="0" borderId="27" xfId="0" applyFont="1" applyBorder="1"/>
    <xf numFmtId="10" fontId="6" fillId="0" borderId="20" xfId="0" applyNumberFormat="1" applyFont="1" applyBorder="1"/>
    <xf numFmtId="10" fontId="6" fillId="0" borderId="21" xfId="0" applyNumberFormat="1" applyFont="1" applyBorder="1"/>
    <xf numFmtId="10" fontId="6" fillId="0" borderId="23" xfId="0" applyNumberFormat="1" applyFont="1" applyBorder="1"/>
    <xf numFmtId="10" fontId="6" fillId="0" borderId="24" xfId="0" applyNumberFormat="1" applyFont="1" applyBorder="1"/>
    <xf numFmtId="10" fontId="6" fillId="0" borderId="26" xfId="0" applyNumberFormat="1" applyFont="1" applyBorder="1"/>
    <xf numFmtId="10" fontId="6" fillId="0" borderId="27" xfId="0" applyNumberFormat="1" applyFont="1" applyBorder="1"/>
    <xf numFmtId="9" fontId="6" fillId="0" borderId="17" xfId="0" applyNumberFormat="1" applyFont="1" applyBorder="1"/>
    <xf numFmtId="164" fontId="6" fillId="0" borderId="17" xfId="1" applyNumberFormat="1" applyFont="1" applyBorder="1" applyProtection="1">
      <protection locked="0"/>
    </xf>
    <xf numFmtId="165" fontId="6" fillId="0" borderId="17" xfId="0" applyNumberFormat="1" applyFont="1" applyBorder="1" applyProtection="1">
      <protection locked="0"/>
    </xf>
    <xf numFmtId="164" fontId="6" fillId="0" borderId="16" xfId="1" applyNumberFormat="1" applyFont="1" applyBorder="1" applyProtection="1">
      <protection locked="0"/>
    </xf>
    <xf numFmtId="0" fontId="10" fillId="0" borderId="23" xfId="0" applyFont="1" applyBorder="1" applyProtection="1">
      <protection locked="0"/>
    </xf>
    <xf numFmtId="0" fontId="10" fillId="0" borderId="26" xfId="0" applyFont="1" applyBorder="1" applyProtection="1">
      <protection locked="0"/>
    </xf>
    <xf numFmtId="1" fontId="6" fillId="0" borderId="20" xfId="0" applyNumberFormat="1" applyFont="1" applyBorder="1" applyProtection="1">
      <protection locked="0"/>
    </xf>
    <xf numFmtId="164" fontId="6" fillId="0" borderId="20" xfId="1" applyNumberFormat="1" applyFont="1" applyBorder="1" applyProtection="1">
      <protection locked="0"/>
    </xf>
    <xf numFmtId="0" fontId="6" fillId="0" borderId="23" xfId="0" applyFont="1" applyBorder="1" applyProtection="1">
      <protection locked="0"/>
    </xf>
    <xf numFmtId="0" fontId="6" fillId="0" borderId="26" xfId="0" applyFont="1" applyBorder="1" applyProtection="1">
      <protection locked="0"/>
    </xf>
    <xf numFmtId="165" fontId="6" fillId="0" borderId="23" xfId="0" applyNumberFormat="1" applyFont="1" applyBorder="1" applyProtection="1">
      <protection locked="0"/>
    </xf>
    <xf numFmtId="165" fontId="6" fillId="0" borderId="26" xfId="0" applyNumberFormat="1" applyFont="1" applyBorder="1" applyProtection="1">
      <protection locked="0"/>
    </xf>
    <xf numFmtId="165" fontId="6" fillId="0" borderId="20" xfId="0" applyNumberFormat="1" applyFont="1" applyBorder="1" applyProtection="1">
      <protection locked="0"/>
    </xf>
    <xf numFmtId="8" fontId="6" fillId="0" borderId="17" xfId="0" applyNumberFormat="1" applyFont="1" applyBorder="1" applyProtection="1">
      <protection locked="0"/>
    </xf>
    <xf numFmtId="164" fontId="6" fillId="0" borderId="15" xfId="1" applyNumberFormat="1" applyFont="1" applyBorder="1" applyAlignment="1" applyProtection="1">
      <alignment vertical="top"/>
      <protection locked="0"/>
    </xf>
    <xf numFmtId="164" fontId="6" fillId="0" borderId="16" xfId="1" applyNumberFormat="1" applyFont="1" applyBorder="1" applyAlignment="1" applyProtection="1">
      <alignment vertical="top"/>
      <protection locked="0"/>
    </xf>
    <xf numFmtId="0" fontId="6" fillId="0" borderId="16" xfId="0" applyFont="1" applyBorder="1" applyProtection="1">
      <protection locked="0"/>
    </xf>
    <xf numFmtId="3" fontId="6" fillId="0" borderId="17" xfId="0" applyNumberFormat="1" applyFont="1" applyBorder="1" applyProtection="1">
      <protection locked="0"/>
    </xf>
    <xf numFmtId="3" fontId="6" fillId="0" borderId="17" xfId="1" applyNumberFormat="1" applyFont="1" applyBorder="1" applyProtection="1">
      <protection locked="0"/>
    </xf>
    <xf numFmtId="3" fontId="6" fillId="0" borderId="20" xfId="1" applyNumberFormat="1" applyFont="1" applyBorder="1" applyProtection="1">
      <protection locked="0"/>
    </xf>
    <xf numFmtId="3" fontId="6" fillId="0" borderId="20" xfId="0" applyNumberFormat="1" applyFont="1" applyBorder="1" applyProtection="1">
      <protection locked="0"/>
    </xf>
    <xf numFmtId="1" fontId="6" fillId="0" borderId="23" xfId="0" applyNumberFormat="1" applyFont="1" applyBorder="1" applyProtection="1">
      <protection locked="0"/>
    </xf>
    <xf numFmtId="37" fontId="6" fillId="0" borderId="17" xfId="1" applyNumberFormat="1" applyFont="1" applyBorder="1" applyProtection="1">
      <protection locked="0"/>
    </xf>
    <xf numFmtId="37" fontId="6" fillId="0" borderId="20" xfId="1" applyNumberFormat="1" applyFont="1" applyBorder="1" applyProtection="1">
      <protection locked="0"/>
    </xf>
    <xf numFmtId="0" fontId="0" fillId="0" borderId="0" xfId="0" applyProtection="1">
      <protection locked="0"/>
    </xf>
    <xf numFmtId="0" fontId="6" fillId="6" borderId="1" xfId="0" applyFont="1" applyFill="1" applyBorder="1"/>
    <xf numFmtId="0" fontId="6" fillId="6" borderId="16" xfId="0" applyFont="1" applyFill="1" applyBorder="1" applyProtection="1">
      <protection locked="0"/>
    </xf>
    <xf numFmtId="164" fontId="9" fillId="6" borderId="16" xfId="1" applyNumberFormat="1" applyFont="1" applyFill="1" applyBorder="1" applyProtection="1">
      <protection locked="0"/>
    </xf>
    <xf numFmtId="164" fontId="6" fillId="6" borderId="17" xfId="1" applyNumberFormat="1" applyFont="1" applyFill="1" applyBorder="1" applyProtection="1">
      <protection locked="0"/>
    </xf>
    <xf numFmtId="0" fontId="6" fillId="6" borderId="17" xfId="0" applyFont="1" applyFill="1" applyBorder="1" applyProtection="1">
      <protection locked="0"/>
    </xf>
    <xf numFmtId="0" fontId="6" fillId="7" borderId="15" xfId="0" applyFont="1" applyFill="1" applyBorder="1" applyProtection="1">
      <protection locked="0"/>
    </xf>
    <xf numFmtId="0" fontId="6" fillId="7" borderId="16" xfId="0" applyFont="1" applyFill="1" applyBorder="1" applyProtection="1">
      <protection locked="0"/>
    </xf>
    <xf numFmtId="0" fontId="7" fillId="7" borderId="16" xfId="0" applyFont="1" applyFill="1" applyBorder="1" applyProtection="1">
      <protection locked="0"/>
    </xf>
    <xf numFmtId="0" fontId="6" fillId="7" borderId="1" xfId="0" applyFont="1" applyFill="1" applyBorder="1" applyProtection="1">
      <protection locked="0"/>
    </xf>
    <xf numFmtId="0" fontId="10" fillId="7" borderId="22" xfId="0" applyFont="1" applyFill="1" applyBorder="1"/>
    <xf numFmtId="0" fontId="10" fillId="7" borderId="25" xfId="0" applyFont="1" applyFill="1" applyBorder="1"/>
    <xf numFmtId="1" fontId="12" fillId="7" borderId="29" xfId="0" applyNumberFormat="1" applyFont="1" applyFill="1" applyBorder="1" applyProtection="1">
      <protection locked="0"/>
    </xf>
    <xf numFmtId="165" fontId="12" fillId="7" borderId="29" xfId="0" applyNumberFormat="1" applyFont="1" applyFill="1" applyBorder="1" applyProtection="1">
      <protection locked="0"/>
    </xf>
    <xf numFmtId="1" fontId="12" fillId="7" borderId="29" xfId="1" applyNumberFormat="1" applyFont="1" applyFill="1" applyBorder="1" applyProtection="1">
      <protection locked="0"/>
    </xf>
    <xf numFmtId="0" fontId="12" fillId="7" borderId="3" xfId="0" applyFont="1" applyFill="1" applyBorder="1" applyProtection="1">
      <protection locked="0"/>
    </xf>
    <xf numFmtId="1" fontId="12" fillId="7" borderId="3" xfId="0" applyNumberFormat="1" applyFont="1" applyFill="1" applyBorder="1" applyProtection="1">
      <protection locked="0"/>
    </xf>
    <xf numFmtId="165" fontId="12" fillId="7" borderId="3" xfId="0" applyNumberFormat="1" applyFont="1" applyFill="1" applyBorder="1" applyProtection="1">
      <protection locked="0"/>
    </xf>
    <xf numFmtId="8" fontId="12" fillId="7" borderId="29" xfId="0" applyNumberFormat="1" applyFont="1" applyFill="1" applyBorder="1" applyProtection="1">
      <protection locked="0"/>
    </xf>
    <xf numFmtId="8" fontId="12" fillId="7" borderId="30" xfId="0" applyNumberFormat="1" applyFont="1" applyFill="1" applyBorder="1" applyProtection="1">
      <protection locked="0"/>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0" xfId="0" applyFont="1" applyAlignment="1">
      <alignment horizontal="lef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wrapText="1"/>
    </xf>
    <xf numFmtId="10" fontId="6" fillId="0" borderId="0" xfId="0" applyNumberFormat="1" applyFont="1" applyAlignment="1">
      <alignment horizontal="center" vertical="top" wrapText="1"/>
    </xf>
    <xf numFmtId="10" fontId="6" fillId="0" borderId="3" xfId="0" applyNumberFormat="1" applyFont="1" applyBorder="1" applyAlignment="1">
      <alignment horizontal="center" vertical="top" wrapText="1"/>
    </xf>
    <xf numFmtId="0" fontId="11" fillId="0" borderId="28" xfId="0" applyFont="1" applyBorder="1" applyAlignment="1">
      <alignment horizontal="left" vertical="center" wrapText="1"/>
    </xf>
    <xf numFmtId="0" fontId="11" fillId="0" borderId="13" xfId="0" applyFont="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DE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7"/>
  <sheetViews>
    <sheetView tabSelected="1" zoomScale="120" zoomScaleNormal="120" workbookViewId="0">
      <selection sqref="A1:XFD1048576"/>
    </sheetView>
  </sheetViews>
  <sheetFormatPr defaultRowHeight="15.75" x14ac:dyDescent="0.25"/>
  <cols>
    <col min="1" max="1" width="24.7109375" style="5" customWidth="1"/>
    <col min="2" max="2" width="19.7109375" style="10" customWidth="1"/>
    <col min="3" max="3" width="15.28515625" style="10" customWidth="1"/>
    <col min="4" max="4" width="10.28515625" style="10" bestFit="1" customWidth="1"/>
    <col min="5" max="5" width="14.28515625" style="10" customWidth="1"/>
    <col min="6" max="6" width="10.5703125" style="10" customWidth="1"/>
    <col min="7" max="7" width="14.5703125" style="10" customWidth="1"/>
    <col min="8" max="8" width="10.28515625" style="10" customWidth="1"/>
    <col min="9" max="9" width="14.28515625" style="10" customWidth="1"/>
    <col min="10" max="10" width="10.28515625" style="10" customWidth="1"/>
  </cols>
  <sheetData>
    <row r="1" spans="1:10" x14ac:dyDescent="0.25">
      <c r="A1" s="76" t="s">
        <v>50</v>
      </c>
      <c r="B1" s="62" t="s">
        <v>56</v>
      </c>
      <c r="C1" s="46" t="s">
        <v>56</v>
      </c>
      <c r="D1" s="93" t="s">
        <v>49</v>
      </c>
      <c r="E1" s="46" t="s">
        <v>56</v>
      </c>
      <c r="F1" s="93" t="s">
        <v>49</v>
      </c>
      <c r="G1" s="46" t="s">
        <v>56</v>
      </c>
      <c r="H1" s="93" t="s">
        <v>49</v>
      </c>
      <c r="I1" s="46" t="s">
        <v>56</v>
      </c>
      <c r="J1" s="93" t="s">
        <v>49</v>
      </c>
    </row>
    <row r="2" spans="1:10" x14ac:dyDescent="0.25">
      <c r="A2" s="77"/>
      <c r="B2" s="63" t="s">
        <v>57</v>
      </c>
      <c r="C2" s="47" t="s">
        <v>58</v>
      </c>
      <c r="D2" s="94"/>
      <c r="E2" s="47" t="s">
        <v>58</v>
      </c>
      <c r="F2" s="94"/>
      <c r="G2" s="47" t="s">
        <v>58</v>
      </c>
      <c r="H2" s="94"/>
      <c r="I2" s="47" t="s">
        <v>58</v>
      </c>
      <c r="J2" s="94"/>
    </row>
    <row r="3" spans="1:10" x14ac:dyDescent="0.25">
      <c r="A3" s="77"/>
      <c r="B3" s="64" t="s">
        <v>60</v>
      </c>
      <c r="C3" s="47" t="s">
        <v>59</v>
      </c>
      <c r="D3" s="94"/>
      <c r="E3" s="47" t="s">
        <v>59</v>
      </c>
      <c r="F3" s="94"/>
      <c r="G3" s="47" t="s">
        <v>59</v>
      </c>
      <c r="H3" s="94"/>
      <c r="I3" s="47" t="s">
        <v>59</v>
      </c>
      <c r="J3" s="94"/>
    </row>
    <row r="4" spans="1:10" x14ac:dyDescent="0.25">
      <c r="A4" s="9"/>
      <c r="B4" s="63"/>
      <c r="C4" s="35"/>
      <c r="D4" s="94"/>
      <c r="E4" s="35"/>
      <c r="F4" s="94"/>
      <c r="G4" s="48"/>
      <c r="H4" s="94"/>
      <c r="I4" s="48"/>
      <c r="J4" s="94"/>
    </row>
    <row r="5" spans="1:10" x14ac:dyDescent="0.25">
      <c r="A5" s="57" t="s">
        <v>0</v>
      </c>
      <c r="B5" s="65" t="s">
        <v>54</v>
      </c>
      <c r="C5" s="60" t="s">
        <v>61</v>
      </c>
      <c r="D5" s="95"/>
      <c r="E5" s="61" t="s">
        <v>64</v>
      </c>
      <c r="F5" s="95"/>
      <c r="G5" s="61" t="s">
        <v>62</v>
      </c>
      <c r="H5" s="95"/>
      <c r="I5" s="61" t="s">
        <v>65</v>
      </c>
      <c r="J5" s="96"/>
    </row>
    <row r="6" spans="1:10" x14ac:dyDescent="0.25">
      <c r="A6" s="57" t="s">
        <v>1</v>
      </c>
      <c r="B6" s="63" t="s">
        <v>55</v>
      </c>
      <c r="C6" s="59"/>
      <c r="D6" s="94"/>
      <c r="E6" s="58"/>
      <c r="F6" s="94"/>
      <c r="G6" s="58"/>
      <c r="H6" s="94"/>
      <c r="I6" s="58"/>
      <c r="J6" s="94"/>
    </row>
    <row r="7" spans="1:10" ht="16.5" x14ac:dyDescent="0.3">
      <c r="A7" s="1"/>
      <c r="B7" s="66"/>
      <c r="C7" s="36"/>
      <c r="D7" s="22"/>
      <c r="E7" s="36"/>
      <c r="F7" s="22"/>
      <c r="G7" s="36"/>
      <c r="H7" s="22"/>
      <c r="I7" s="36"/>
      <c r="J7" s="23"/>
    </row>
    <row r="8" spans="1:10" ht="16.5" x14ac:dyDescent="0.3">
      <c r="A8" s="2" t="s">
        <v>2</v>
      </c>
      <c r="B8" s="67"/>
      <c r="C8" s="37"/>
      <c r="D8" s="24"/>
      <c r="E8" s="37"/>
      <c r="F8" s="24"/>
      <c r="G8" s="37"/>
      <c r="H8" s="24"/>
      <c r="I8" s="37"/>
      <c r="J8" s="25"/>
    </row>
    <row r="9" spans="1:10" ht="16.5" x14ac:dyDescent="0.3">
      <c r="A9" s="11" t="s">
        <v>3</v>
      </c>
      <c r="B9" s="68">
        <v>172126</v>
      </c>
      <c r="C9" s="33">
        <v>177037</v>
      </c>
      <c r="D9" s="20">
        <f>(C9/B9)-1</f>
        <v>2.8531424654032467E-2</v>
      </c>
      <c r="E9" s="49">
        <v>159600</v>
      </c>
      <c r="F9" s="21">
        <f>(E9/B9)-1</f>
        <v>-7.277227147554699E-2</v>
      </c>
      <c r="G9" s="49">
        <v>159600</v>
      </c>
      <c r="H9" s="21">
        <f>(G9/B9)-1</f>
        <v>-7.277227147554699E-2</v>
      </c>
      <c r="I9" s="49">
        <v>174269</v>
      </c>
      <c r="J9" s="21">
        <f>(I9/B9)-1</f>
        <v>1.2450181843533192E-2</v>
      </c>
    </row>
    <row r="10" spans="1:10" ht="16.5" x14ac:dyDescent="0.3">
      <c r="A10" s="11" t="s">
        <v>4</v>
      </c>
      <c r="B10" s="68">
        <v>68082</v>
      </c>
      <c r="C10" s="33">
        <v>67193</v>
      </c>
      <c r="D10" s="21">
        <f t="shared" ref="D10:D34" si="0">(C10/B10)-1</f>
        <v>-1.3057783261361311E-2</v>
      </c>
      <c r="E10" s="49">
        <v>74250</v>
      </c>
      <c r="F10" s="21">
        <f t="shared" ref="F10:F34" si="1">(E10/B10)-1</f>
        <v>9.0596633471402122E-2</v>
      </c>
      <c r="G10" s="49">
        <v>69330</v>
      </c>
      <c r="H10" s="21">
        <f t="shared" ref="H10:H34" si="2">(G10/B10)-1</f>
        <v>1.833083634440813E-2</v>
      </c>
      <c r="I10" s="49">
        <v>70076</v>
      </c>
      <c r="J10" s="21">
        <f t="shared" ref="J10:J34" si="3">(I10/B10)-1</f>
        <v>2.928821127463932E-2</v>
      </c>
    </row>
    <row r="11" spans="1:10" ht="16.5" x14ac:dyDescent="0.3">
      <c r="A11" s="11" t="s">
        <v>5</v>
      </c>
      <c r="B11" s="68">
        <v>0</v>
      </c>
      <c r="C11" s="33">
        <v>0</v>
      </c>
      <c r="D11" s="21" t="e">
        <f t="shared" si="0"/>
        <v>#DIV/0!</v>
      </c>
      <c r="E11" s="49">
        <v>0</v>
      </c>
      <c r="F11" s="21" t="e">
        <f t="shared" si="1"/>
        <v>#DIV/0!</v>
      </c>
      <c r="G11" s="49">
        <v>0</v>
      </c>
      <c r="H11" s="21" t="e">
        <f t="shared" si="2"/>
        <v>#DIV/0!</v>
      </c>
      <c r="I11" s="49">
        <v>0</v>
      </c>
      <c r="J11" s="21" t="e">
        <f t="shared" si="3"/>
        <v>#DIV/0!</v>
      </c>
    </row>
    <row r="12" spans="1:10" ht="16.5" x14ac:dyDescent="0.3">
      <c r="A12" s="11" t="s">
        <v>6</v>
      </c>
      <c r="B12" s="69">
        <v>80315.75</v>
      </c>
      <c r="C12" s="34">
        <v>90000</v>
      </c>
      <c r="D12" s="21">
        <f t="shared" si="0"/>
        <v>0.12057722177779584</v>
      </c>
      <c r="E12" s="34">
        <v>97000</v>
      </c>
      <c r="F12" s="21">
        <f t="shared" si="1"/>
        <v>0.20773322791606885</v>
      </c>
      <c r="G12" s="34">
        <v>97000</v>
      </c>
      <c r="H12" s="21">
        <f t="shared" si="2"/>
        <v>0.20773322791606885</v>
      </c>
      <c r="I12" s="34">
        <v>94022.35</v>
      </c>
      <c r="J12" s="21">
        <f t="shared" si="3"/>
        <v>0.17065893053355041</v>
      </c>
    </row>
    <row r="13" spans="1:10" ht="16.5" x14ac:dyDescent="0.3">
      <c r="A13" s="11" t="s">
        <v>7</v>
      </c>
      <c r="B13" s="70">
        <v>24338.1060606061</v>
      </c>
      <c r="C13" s="33">
        <v>18404.907975460123</v>
      </c>
      <c r="D13" s="21">
        <f t="shared" si="0"/>
        <v>-0.24378224297204087</v>
      </c>
      <c r="E13" s="49">
        <v>19836</v>
      </c>
      <c r="F13" s="21">
        <f t="shared" si="1"/>
        <v>-0.18498177505657487</v>
      </c>
      <c r="G13" s="49">
        <v>19836</v>
      </c>
      <c r="H13" s="21">
        <f t="shared" si="2"/>
        <v>-0.18498177505657487</v>
      </c>
      <c r="I13" s="49">
        <v>19227</v>
      </c>
      <c r="J13" s="21">
        <f t="shared" si="3"/>
        <v>-0.2100042644188731</v>
      </c>
    </row>
    <row r="14" spans="1:10" ht="16.5" x14ac:dyDescent="0.3">
      <c r="A14" s="11" t="s">
        <v>8</v>
      </c>
      <c r="B14" s="68">
        <v>264546.10606060608</v>
      </c>
      <c r="C14" s="33">
        <v>262634.90797546011</v>
      </c>
      <c r="D14" s="21">
        <f t="shared" si="0"/>
        <v>-7.2244423235173771E-3</v>
      </c>
      <c r="E14" s="49">
        <v>253686</v>
      </c>
      <c r="F14" s="21">
        <f t="shared" si="1"/>
        <v>-4.1051846206793474E-2</v>
      </c>
      <c r="G14" s="49">
        <v>248766</v>
      </c>
      <c r="H14" s="21">
        <f t="shared" si="2"/>
        <v>-5.9649738548753883E-2</v>
      </c>
      <c r="I14" s="49">
        <v>2633572</v>
      </c>
      <c r="J14" s="21">
        <f t="shared" si="3"/>
        <v>8.955058644471837</v>
      </c>
    </row>
    <row r="15" spans="1:10" ht="9" customHeight="1" x14ac:dyDescent="0.3">
      <c r="A15" s="1"/>
      <c r="B15" s="71"/>
      <c r="C15" s="38"/>
      <c r="D15" s="26"/>
      <c r="E15" s="38"/>
      <c r="F15" s="26"/>
      <c r="G15" s="38"/>
      <c r="H15" s="26"/>
      <c r="I15" s="38"/>
      <c r="J15" s="27"/>
    </row>
    <row r="16" spans="1:10" ht="16.5" x14ac:dyDescent="0.3">
      <c r="A16" s="12" t="s">
        <v>9</v>
      </c>
      <c r="B16" s="70"/>
      <c r="C16" s="33">
        <v>0</v>
      </c>
      <c r="D16" s="21" t="e">
        <f t="shared" si="0"/>
        <v>#DIV/0!</v>
      </c>
      <c r="E16" s="50"/>
      <c r="F16" s="21" t="e">
        <f t="shared" si="1"/>
        <v>#DIV/0!</v>
      </c>
      <c r="G16" s="54"/>
      <c r="H16" s="21" t="e">
        <f t="shared" si="2"/>
        <v>#DIV/0!</v>
      </c>
      <c r="I16" s="49"/>
      <c r="J16" s="21" t="e">
        <f t="shared" si="3"/>
        <v>#DIV/0!</v>
      </c>
    </row>
    <row r="17" spans="1:10" ht="16.5" x14ac:dyDescent="0.3">
      <c r="A17" s="12" t="s">
        <v>10</v>
      </c>
      <c r="B17" s="70"/>
      <c r="C17" s="33">
        <v>0</v>
      </c>
      <c r="D17" s="21" t="e">
        <f t="shared" si="0"/>
        <v>#DIV/0!</v>
      </c>
      <c r="E17" s="50"/>
      <c r="F17" s="21" t="e">
        <f t="shared" si="1"/>
        <v>#DIV/0!</v>
      </c>
      <c r="G17" s="54"/>
      <c r="H17" s="21" t="e">
        <f t="shared" si="2"/>
        <v>#DIV/0!</v>
      </c>
      <c r="I17" s="49"/>
      <c r="J17" s="21" t="e">
        <f t="shared" si="3"/>
        <v>#DIV/0!</v>
      </c>
    </row>
    <row r="18" spans="1:10" ht="16.5" x14ac:dyDescent="0.3">
      <c r="A18" s="12" t="s">
        <v>11</v>
      </c>
      <c r="B18" s="70"/>
      <c r="C18" s="33">
        <v>0</v>
      </c>
      <c r="D18" s="21" t="e">
        <f t="shared" si="0"/>
        <v>#DIV/0!</v>
      </c>
      <c r="E18" s="50"/>
      <c r="F18" s="21" t="e">
        <f t="shared" si="1"/>
        <v>#DIV/0!</v>
      </c>
      <c r="G18" s="54"/>
      <c r="H18" s="21" t="e">
        <f t="shared" si="2"/>
        <v>#DIV/0!</v>
      </c>
      <c r="I18" s="49"/>
      <c r="J18" s="21" t="e">
        <f t="shared" si="3"/>
        <v>#DIV/0!</v>
      </c>
    </row>
    <row r="19" spans="1:10" ht="16.5" x14ac:dyDescent="0.3">
      <c r="A19" s="12" t="s">
        <v>12</v>
      </c>
      <c r="B19" s="70"/>
      <c r="C19" s="33">
        <v>0</v>
      </c>
      <c r="D19" s="21" t="e">
        <f t="shared" si="0"/>
        <v>#DIV/0!</v>
      </c>
      <c r="E19" s="50"/>
      <c r="F19" s="21" t="e">
        <f t="shared" si="1"/>
        <v>#DIV/0!</v>
      </c>
      <c r="G19" s="54"/>
      <c r="H19" s="21" t="e">
        <f t="shared" si="2"/>
        <v>#DIV/0!</v>
      </c>
      <c r="I19" s="49"/>
      <c r="J19" s="21" t="e">
        <f t="shared" si="3"/>
        <v>#DIV/0!</v>
      </c>
    </row>
    <row r="20" spans="1:10" ht="16.5" x14ac:dyDescent="0.3">
      <c r="A20" s="12" t="s">
        <v>13</v>
      </c>
      <c r="B20" s="70"/>
      <c r="C20" s="33">
        <v>0</v>
      </c>
      <c r="D20" s="21" t="e">
        <f t="shared" si="0"/>
        <v>#DIV/0!</v>
      </c>
      <c r="E20" s="50"/>
      <c r="F20" s="21" t="e">
        <f t="shared" si="1"/>
        <v>#DIV/0!</v>
      </c>
      <c r="G20" s="54"/>
      <c r="H20" s="21" t="e">
        <f t="shared" si="2"/>
        <v>#DIV/0!</v>
      </c>
      <c r="I20" s="49"/>
      <c r="J20" s="21" t="e">
        <f t="shared" si="3"/>
        <v>#DIV/0!</v>
      </c>
    </row>
    <row r="21" spans="1:10" ht="8.1" customHeight="1" x14ac:dyDescent="0.3">
      <c r="A21" s="1"/>
      <c r="B21" s="71"/>
      <c r="C21" s="39"/>
      <c r="D21" s="26"/>
      <c r="E21" s="51"/>
      <c r="F21" s="26"/>
      <c r="G21" s="55"/>
      <c r="H21" s="26"/>
      <c r="I21" s="52"/>
      <c r="J21" s="27"/>
    </row>
    <row r="22" spans="1:10" ht="16.5" x14ac:dyDescent="0.3">
      <c r="A22" s="13" t="s">
        <v>14</v>
      </c>
      <c r="B22" s="70"/>
      <c r="C22" s="33">
        <v>0</v>
      </c>
      <c r="D22" s="21" t="e">
        <f t="shared" si="0"/>
        <v>#DIV/0!</v>
      </c>
      <c r="E22" s="50"/>
      <c r="F22" s="21" t="e">
        <f t="shared" si="1"/>
        <v>#DIV/0!</v>
      </c>
      <c r="G22" s="54"/>
      <c r="H22" s="21" t="e">
        <f t="shared" si="2"/>
        <v>#DIV/0!</v>
      </c>
      <c r="I22" s="49"/>
      <c r="J22" s="21" t="e">
        <f t="shared" si="3"/>
        <v>#DIV/0!</v>
      </c>
    </row>
    <row r="23" spans="1:10" ht="16.5" x14ac:dyDescent="0.3">
      <c r="A23" s="13" t="s">
        <v>15</v>
      </c>
      <c r="B23" s="70"/>
      <c r="C23" s="33">
        <v>0</v>
      </c>
      <c r="D23" s="21" t="e">
        <f t="shared" si="0"/>
        <v>#DIV/0!</v>
      </c>
      <c r="E23" s="50"/>
      <c r="F23" s="21" t="e">
        <f t="shared" si="1"/>
        <v>#DIV/0!</v>
      </c>
      <c r="G23" s="54"/>
      <c r="H23" s="21" t="e">
        <f t="shared" si="2"/>
        <v>#DIV/0!</v>
      </c>
      <c r="I23" s="49"/>
      <c r="J23" s="21" t="e">
        <f t="shared" si="3"/>
        <v>#DIV/0!</v>
      </c>
    </row>
    <row r="24" spans="1:10" ht="16.5" x14ac:dyDescent="0.3">
      <c r="A24" s="13" t="s">
        <v>16</v>
      </c>
      <c r="B24" s="70"/>
      <c r="C24" s="33">
        <v>0</v>
      </c>
      <c r="D24" s="21" t="e">
        <f t="shared" si="0"/>
        <v>#DIV/0!</v>
      </c>
      <c r="E24" s="50"/>
      <c r="F24" s="21" t="e">
        <f t="shared" si="1"/>
        <v>#DIV/0!</v>
      </c>
      <c r="G24" s="54"/>
      <c r="H24" s="21" t="e">
        <f t="shared" si="2"/>
        <v>#DIV/0!</v>
      </c>
      <c r="I24" s="49"/>
      <c r="J24" s="21" t="e">
        <f t="shared" si="3"/>
        <v>#DIV/0!</v>
      </c>
    </row>
    <row r="25" spans="1:10" ht="16.5" x14ac:dyDescent="0.3">
      <c r="A25" s="13" t="s">
        <v>17</v>
      </c>
      <c r="B25" s="70"/>
      <c r="C25" s="33">
        <v>0</v>
      </c>
      <c r="D25" s="21" t="e">
        <f t="shared" si="0"/>
        <v>#DIV/0!</v>
      </c>
      <c r="E25" s="50"/>
      <c r="F25" s="21" t="e">
        <f t="shared" si="1"/>
        <v>#DIV/0!</v>
      </c>
      <c r="G25" s="54"/>
      <c r="H25" s="21" t="e">
        <f t="shared" si="2"/>
        <v>#DIV/0!</v>
      </c>
      <c r="I25" s="49"/>
      <c r="J25" s="21" t="e">
        <f t="shared" si="3"/>
        <v>#DIV/0!</v>
      </c>
    </row>
    <row r="26" spans="1:10" ht="16.5" x14ac:dyDescent="0.3">
      <c r="A26" s="13" t="s">
        <v>18</v>
      </c>
      <c r="B26" s="70"/>
      <c r="C26" s="33">
        <v>0</v>
      </c>
      <c r="D26" s="21" t="e">
        <f t="shared" si="0"/>
        <v>#DIV/0!</v>
      </c>
      <c r="E26" s="50"/>
      <c r="F26" s="21" t="e">
        <f t="shared" si="1"/>
        <v>#DIV/0!</v>
      </c>
      <c r="G26" s="54"/>
      <c r="H26" s="21" t="e">
        <f t="shared" si="2"/>
        <v>#DIV/0!</v>
      </c>
      <c r="I26" s="49"/>
      <c r="J26" s="21" t="e">
        <f t="shared" si="3"/>
        <v>#DIV/0!</v>
      </c>
    </row>
    <row r="27" spans="1:10" ht="9" customHeight="1" x14ac:dyDescent="0.3">
      <c r="A27" s="1"/>
      <c r="B27" s="72"/>
      <c r="C27" s="38"/>
      <c r="D27" s="26"/>
      <c r="E27" s="52"/>
      <c r="F27" s="26"/>
      <c r="G27" s="55"/>
      <c r="H27" s="26"/>
      <c r="I27" s="52"/>
      <c r="J27" s="27"/>
    </row>
    <row r="28" spans="1:10" ht="16.5" x14ac:dyDescent="0.3">
      <c r="A28" s="14" t="s">
        <v>19</v>
      </c>
      <c r="B28" s="68">
        <v>264546.10606060608</v>
      </c>
      <c r="C28" s="33">
        <v>262634.90797546011</v>
      </c>
      <c r="D28" s="21">
        <f t="shared" si="0"/>
        <v>-7.2244423235173771E-3</v>
      </c>
      <c r="E28" s="49">
        <v>253686</v>
      </c>
      <c r="F28" s="21">
        <f t="shared" si="1"/>
        <v>-4.1051846206793474E-2</v>
      </c>
      <c r="G28" s="54">
        <v>248766</v>
      </c>
      <c r="H28" s="21">
        <f t="shared" si="2"/>
        <v>-5.9649738548753883E-2</v>
      </c>
      <c r="I28" s="49">
        <v>263572</v>
      </c>
      <c r="J28" s="21">
        <f t="shared" si="3"/>
        <v>-3.6821787895940927E-3</v>
      </c>
    </row>
    <row r="29" spans="1:10" ht="11.1" customHeight="1" x14ac:dyDescent="0.3">
      <c r="A29" s="1"/>
      <c r="B29" s="71"/>
      <c r="C29" s="40"/>
      <c r="D29" s="28"/>
      <c r="E29" s="53"/>
      <c r="F29" s="28"/>
      <c r="G29" s="53"/>
      <c r="H29" s="28"/>
      <c r="I29" s="53"/>
      <c r="J29" s="29"/>
    </row>
    <row r="30" spans="1:10" ht="16.5" x14ac:dyDescent="0.3">
      <c r="A30" s="3" t="s">
        <v>20</v>
      </c>
      <c r="B30" s="71"/>
      <c r="C30" s="41"/>
      <c r="D30" s="30"/>
      <c r="E30" s="41"/>
      <c r="F30" s="30"/>
      <c r="G30" s="41"/>
      <c r="H30" s="30"/>
      <c r="I30" s="41"/>
      <c r="J30" s="31"/>
    </row>
    <row r="31" spans="1:10" ht="16.5" x14ac:dyDescent="0.3">
      <c r="A31" s="14" t="s">
        <v>21</v>
      </c>
      <c r="B31" s="69">
        <v>404471.95</v>
      </c>
      <c r="C31" s="34">
        <v>562692.91999999993</v>
      </c>
      <c r="D31" s="21">
        <f t="shared" si="0"/>
        <v>0.39117909165270892</v>
      </c>
      <c r="E31" s="34">
        <v>484464</v>
      </c>
      <c r="F31" s="21">
        <f t="shared" si="1"/>
        <v>0.19776909128061915</v>
      </c>
      <c r="G31" s="34">
        <v>474624</v>
      </c>
      <c r="H31" s="21">
        <f t="shared" si="2"/>
        <v>0.17344107545653031</v>
      </c>
      <c r="I31" s="34">
        <v>549640.75</v>
      </c>
      <c r="J31" s="21">
        <f t="shared" si="3"/>
        <v>0.35890943735406133</v>
      </c>
    </row>
    <row r="32" spans="1:10" ht="16.5" x14ac:dyDescent="0.3">
      <c r="A32" s="14" t="s">
        <v>52</v>
      </c>
      <c r="B32" s="69">
        <v>557360.15</v>
      </c>
      <c r="C32" s="34">
        <v>0</v>
      </c>
      <c r="D32" s="21">
        <f t="shared" si="0"/>
        <v>-1</v>
      </c>
      <c r="E32" s="34">
        <v>0</v>
      </c>
      <c r="F32" s="21">
        <f t="shared" si="1"/>
        <v>-1</v>
      </c>
      <c r="G32" s="34">
        <v>0</v>
      </c>
      <c r="H32" s="21">
        <f t="shared" si="2"/>
        <v>-1</v>
      </c>
      <c r="I32" s="34">
        <v>0</v>
      </c>
      <c r="J32" s="21">
        <f t="shared" si="3"/>
        <v>-1</v>
      </c>
    </row>
    <row r="33" spans="1:10" ht="16.5" x14ac:dyDescent="0.3">
      <c r="A33" s="14" t="s">
        <v>22</v>
      </c>
      <c r="B33" s="69">
        <v>0</v>
      </c>
      <c r="C33" s="34">
        <v>610101.17000000004</v>
      </c>
      <c r="D33" s="21" t="e">
        <f t="shared" si="0"/>
        <v>#DIV/0!</v>
      </c>
      <c r="E33" s="34">
        <v>642223.6</v>
      </c>
      <c r="F33" s="21" t="e">
        <f t="shared" si="1"/>
        <v>#DIV/0!</v>
      </c>
      <c r="G33" s="34">
        <v>639692.30000000005</v>
      </c>
      <c r="H33" s="21" t="e">
        <f t="shared" si="2"/>
        <v>#DIV/0!</v>
      </c>
      <c r="I33" s="34">
        <v>636116.34</v>
      </c>
      <c r="J33" s="21" t="e">
        <f t="shared" si="3"/>
        <v>#DIV/0!</v>
      </c>
    </row>
    <row r="34" spans="1:10" ht="16.5" x14ac:dyDescent="0.3">
      <c r="A34" s="14" t="s">
        <v>23</v>
      </c>
      <c r="B34" s="69">
        <v>961832.10000000009</v>
      </c>
      <c r="C34" s="34">
        <v>1172794.0900000001</v>
      </c>
      <c r="D34" s="21">
        <f t="shared" si="0"/>
        <v>0.2193334886618985</v>
      </c>
      <c r="E34" s="34">
        <v>1126687.6000000001</v>
      </c>
      <c r="F34" s="21">
        <f t="shared" si="1"/>
        <v>0.17139737798312193</v>
      </c>
      <c r="G34" s="34">
        <v>1114316.3</v>
      </c>
      <c r="H34" s="21">
        <f t="shared" si="2"/>
        <v>0.15853515390056128</v>
      </c>
      <c r="I34" s="34">
        <v>1185757.0900000001</v>
      </c>
      <c r="J34" s="21">
        <f t="shared" si="3"/>
        <v>0.23281089287828927</v>
      </c>
    </row>
    <row r="35" spans="1:10" ht="10.15" customHeight="1" x14ac:dyDescent="0.3">
      <c r="A35" s="1"/>
      <c r="B35" s="71"/>
      <c r="C35" s="42"/>
      <c r="D35" s="28"/>
      <c r="E35" s="42"/>
      <c r="F35" s="28"/>
      <c r="G35" s="42"/>
      <c r="H35" s="28"/>
      <c r="I35" s="42"/>
      <c r="J35" s="29"/>
    </row>
    <row r="36" spans="1:10" ht="16.5" x14ac:dyDescent="0.3">
      <c r="A36" s="2" t="s">
        <v>24</v>
      </c>
      <c r="B36" s="71"/>
      <c r="C36" s="43"/>
      <c r="D36" s="30"/>
      <c r="E36" s="43"/>
      <c r="F36" s="30"/>
      <c r="G36" s="43"/>
      <c r="H36" s="30"/>
      <c r="I36" s="43"/>
      <c r="J36" s="31"/>
    </row>
    <row r="37" spans="1:10" ht="16.5" x14ac:dyDescent="0.3">
      <c r="A37" s="11" t="s">
        <v>25</v>
      </c>
      <c r="B37" s="69"/>
      <c r="C37" s="34">
        <v>257349.19</v>
      </c>
      <c r="D37" s="21"/>
      <c r="E37" s="34">
        <v>178200</v>
      </c>
      <c r="F37" s="21"/>
      <c r="G37" s="34">
        <v>235722</v>
      </c>
      <c r="H37" s="21"/>
      <c r="I37" s="34">
        <v>193409.48</v>
      </c>
      <c r="J37" s="21"/>
    </row>
    <row r="38" spans="1:10" ht="16.5" x14ac:dyDescent="0.3">
      <c r="A38" s="11" t="s">
        <v>26</v>
      </c>
      <c r="B38" s="69"/>
      <c r="C38" s="34">
        <v>678051.71</v>
      </c>
      <c r="D38" s="21"/>
      <c r="E38" s="34">
        <v>684684</v>
      </c>
      <c r="F38" s="21"/>
      <c r="G38" s="34">
        <v>718200</v>
      </c>
      <c r="H38" s="21"/>
      <c r="I38" s="34">
        <v>669192.4</v>
      </c>
      <c r="J38" s="21"/>
    </row>
    <row r="39" spans="1:10" ht="16.5" x14ac:dyDescent="0.3">
      <c r="A39" s="11" t="s">
        <v>27</v>
      </c>
      <c r="B39" s="69"/>
      <c r="C39" s="34">
        <v>0</v>
      </c>
      <c r="D39" s="21"/>
      <c r="E39" s="34">
        <v>0</v>
      </c>
      <c r="F39" s="21"/>
      <c r="G39" s="34">
        <v>0</v>
      </c>
      <c r="H39" s="21"/>
      <c r="I39" s="34">
        <v>0</v>
      </c>
      <c r="J39" s="21"/>
    </row>
    <row r="40" spans="1:10" ht="16.5" x14ac:dyDescent="0.3">
      <c r="A40" s="11" t="s">
        <v>28</v>
      </c>
      <c r="B40" s="69"/>
      <c r="C40" s="34">
        <v>70490.797546012269</v>
      </c>
      <c r="D40" s="21"/>
      <c r="E40" s="34">
        <v>85098.16</v>
      </c>
      <c r="F40" s="21"/>
      <c r="G40" s="34">
        <v>89263.8</v>
      </c>
      <c r="H40" s="21"/>
      <c r="I40" s="34">
        <v>73833.5</v>
      </c>
      <c r="J40" s="21"/>
    </row>
    <row r="41" spans="1:10" ht="16.5" x14ac:dyDescent="0.3">
      <c r="A41" s="11" t="s">
        <v>29</v>
      </c>
      <c r="B41" s="69"/>
      <c r="C41" s="34">
        <v>1005891.6975460122</v>
      </c>
      <c r="D41" s="21"/>
      <c r="E41" s="34">
        <v>947982.16</v>
      </c>
      <c r="F41" s="21"/>
      <c r="G41" s="34">
        <v>1043185.8</v>
      </c>
      <c r="H41" s="21"/>
      <c r="I41" s="34">
        <v>936435.39</v>
      </c>
      <c r="J41" s="21"/>
    </row>
    <row r="42" spans="1:10" ht="16.5" x14ac:dyDescent="0.3">
      <c r="A42" s="1"/>
      <c r="B42" s="73"/>
      <c r="C42" s="44"/>
      <c r="D42" s="26"/>
      <c r="E42" s="44"/>
      <c r="F42" s="26"/>
      <c r="G42" s="44"/>
      <c r="H42" s="26"/>
      <c r="I42" s="44"/>
      <c r="J42" s="27"/>
    </row>
    <row r="43" spans="1:10" ht="16.5" x14ac:dyDescent="0.3">
      <c r="A43" s="12" t="s">
        <v>25</v>
      </c>
      <c r="B43" s="69"/>
      <c r="C43" s="34">
        <v>0</v>
      </c>
      <c r="D43" s="21"/>
      <c r="E43" s="34">
        <v>0</v>
      </c>
      <c r="F43" s="21"/>
      <c r="G43" s="34">
        <v>0</v>
      </c>
      <c r="H43" s="21"/>
      <c r="I43" s="34">
        <v>0</v>
      </c>
      <c r="J43" s="21"/>
    </row>
    <row r="44" spans="1:10" ht="16.5" x14ac:dyDescent="0.3">
      <c r="A44" s="12" t="s">
        <v>26</v>
      </c>
      <c r="B44" s="69"/>
      <c r="C44" s="34">
        <v>0</v>
      </c>
      <c r="D44" s="21"/>
      <c r="E44" s="34">
        <v>0</v>
      </c>
      <c r="F44" s="21"/>
      <c r="G44" s="34">
        <v>0</v>
      </c>
      <c r="H44" s="21"/>
      <c r="I44" s="34">
        <v>0</v>
      </c>
      <c r="J44" s="21"/>
    </row>
    <row r="45" spans="1:10" ht="16.5" x14ac:dyDescent="0.3">
      <c r="A45" s="12" t="s">
        <v>30</v>
      </c>
      <c r="B45" s="69"/>
      <c r="C45" s="34">
        <v>0</v>
      </c>
      <c r="D45" s="21"/>
      <c r="E45" s="34">
        <v>0</v>
      </c>
      <c r="F45" s="21"/>
      <c r="G45" s="34">
        <v>0</v>
      </c>
      <c r="H45" s="21"/>
      <c r="I45" s="34">
        <v>0</v>
      </c>
      <c r="J45" s="21"/>
    </row>
    <row r="46" spans="1:10" ht="16.5" x14ac:dyDescent="0.3">
      <c r="A46" s="12" t="s">
        <v>31</v>
      </c>
      <c r="B46" s="69"/>
      <c r="C46" s="34">
        <v>0</v>
      </c>
      <c r="D46" s="21"/>
      <c r="E46" s="34">
        <v>0</v>
      </c>
      <c r="F46" s="21"/>
      <c r="G46" s="34">
        <v>0</v>
      </c>
      <c r="H46" s="21"/>
      <c r="I46" s="34">
        <v>0</v>
      </c>
      <c r="J46" s="21"/>
    </row>
    <row r="47" spans="1:10" ht="16.5" x14ac:dyDescent="0.3">
      <c r="A47" s="1"/>
      <c r="B47" s="73"/>
      <c r="C47" s="44"/>
      <c r="D47" s="26"/>
      <c r="E47" s="44"/>
      <c r="F47" s="26"/>
      <c r="G47" s="44"/>
      <c r="H47" s="26"/>
      <c r="I47" s="44"/>
      <c r="J47" s="27"/>
    </row>
    <row r="48" spans="1:10" ht="16.5" x14ac:dyDescent="0.3">
      <c r="A48" s="13" t="s">
        <v>25</v>
      </c>
      <c r="B48" s="69"/>
      <c r="C48" s="34">
        <v>0</v>
      </c>
      <c r="D48" s="21"/>
      <c r="E48" s="34">
        <v>0</v>
      </c>
      <c r="F48" s="21"/>
      <c r="G48" s="34">
        <v>0</v>
      </c>
      <c r="H48" s="21"/>
      <c r="I48" s="34">
        <v>0</v>
      </c>
      <c r="J48" s="21"/>
    </row>
    <row r="49" spans="1:10" ht="16.5" x14ac:dyDescent="0.3">
      <c r="A49" s="13" t="s">
        <v>26</v>
      </c>
      <c r="B49" s="69"/>
      <c r="C49" s="34">
        <v>0</v>
      </c>
      <c r="D49" s="21"/>
      <c r="E49" s="34">
        <v>0</v>
      </c>
      <c r="F49" s="21"/>
      <c r="G49" s="34">
        <v>0</v>
      </c>
      <c r="H49" s="21"/>
      <c r="I49" s="34">
        <v>0</v>
      </c>
      <c r="J49" s="21"/>
    </row>
    <row r="50" spans="1:10" ht="16.5" x14ac:dyDescent="0.3">
      <c r="A50" s="13" t="s">
        <v>30</v>
      </c>
      <c r="B50" s="69"/>
      <c r="C50" s="34">
        <v>0</v>
      </c>
      <c r="D50" s="21"/>
      <c r="E50" s="34">
        <v>0</v>
      </c>
      <c r="F50" s="21"/>
      <c r="G50" s="34">
        <v>0</v>
      </c>
      <c r="H50" s="21"/>
      <c r="I50" s="34">
        <v>0</v>
      </c>
      <c r="J50" s="21"/>
    </row>
    <row r="51" spans="1:10" ht="16.5" x14ac:dyDescent="0.3">
      <c r="A51" s="13" t="s">
        <v>32</v>
      </c>
      <c r="B51" s="69"/>
      <c r="C51" s="34">
        <v>0</v>
      </c>
      <c r="D51" s="21"/>
      <c r="E51" s="34">
        <v>0</v>
      </c>
      <c r="F51" s="21"/>
      <c r="G51" s="34">
        <v>0</v>
      </c>
      <c r="H51" s="21"/>
      <c r="I51" s="34">
        <v>0</v>
      </c>
      <c r="J51" s="21"/>
    </row>
    <row r="52" spans="1:10" ht="16.5" x14ac:dyDescent="0.3">
      <c r="A52" s="1"/>
      <c r="B52" s="73"/>
      <c r="C52" s="34"/>
      <c r="D52" s="21"/>
      <c r="E52" s="34"/>
      <c r="F52" s="21"/>
      <c r="G52" s="34"/>
      <c r="H52" s="21"/>
      <c r="I52" s="34"/>
      <c r="J52" s="21"/>
    </row>
    <row r="53" spans="1:10" ht="16.5" x14ac:dyDescent="0.3">
      <c r="A53" s="15" t="s">
        <v>33</v>
      </c>
      <c r="B53" s="69"/>
      <c r="C53" s="34">
        <v>48780</v>
      </c>
      <c r="D53" s="21"/>
      <c r="E53" s="34">
        <v>43766</v>
      </c>
      <c r="F53" s="21"/>
      <c r="G53" s="34">
        <v>62286.3</v>
      </c>
      <c r="H53" s="21"/>
      <c r="I53" s="34">
        <v>89645.1</v>
      </c>
      <c r="J53" s="21"/>
    </row>
    <row r="54" spans="1:10" ht="16.5" x14ac:dyDescent="0.3">
      <c r="A54" s="15" t="s">
        <v>34</v>
      </c>
      <c r="B54" s="69"/>
      <c r="C54" s="34">
        <v>1279.9106146550002</v>
      </c>
      <c r="D54" s="21"/>
      <c r="E54" s="34">
        <v>46090.71</v>
      </c>
      <c r="F54" s="21"/>
      <c r="G54" s="34">
        <v>690599.51</v>
      </c>
      <c r="H54" s="21"/>
      <c r="I54" s="34">
        <v>0</v>
      </c>
      <c r="J54" s="21"/>
    </row>
    <row r="55" spans="1:10" ht="16.5" x14ac:dyDescent="0.3">
      <c r="A55" s="15" t="s">
        <v>35</v>
      </c>
      <c r="B55" s="69"/>
      <c r="C55" s="34">
        <v>1500</v>
      </c>
      <c r="D55" s="21"/>
      <c r="E55" s="34">
        <v>12000</v>
      </c>
      <c r="F55" s="21"/>
      <c r="G55" s="34">
        <v>3611.56</v>
      </c>
      <c r="H55" s="21"/>
      <c r="I55" s="34">
        <v>0</v>
      </c>
      <c r="J55" s="21"/>
    </row>
    <row r="56" spans="1:10" ht="16.5" x14ac:dyDescent="0.3">
      <c r="A56" s="15" t="s">
        <v>36</v>
      </c>
      <c r="B56" s="69"/>
      <c r="C56" s="34">
        <v>0</v>
      </c>
      <c r="D56" s="21"/>
      <c r="E56" s="34">
        <v>1500</v>
      </c>
      <c r="F56" s="21"/>
      <c r="G56" s="34">
        <v>930</v>
      </c>
      <c r="H56" s="21"/>
      <c r="I56" s="34">
        <v>0</v>
      </c>
      <c r="J56" s="21"/>
    </row>
    <row r="57" spans="1:10" ht="16.5" x14ac:dyDescent="0.3">
      <c r="A57" s="15" t="s">
        <v>37</v>
      </c>
      <c r="B57" s="69"/>
      <c r="C57" s="34">
        <v>1546.7973184396501</v>
      </c>
      <c r="D57" s="21"/>
      <c r="E57" s="34">
        <v>10185.67</v>
      </c>
      <c r="F57" s="21"/>
      <c r="G57" s="34">
        <v>0</v>
      </c>
      <c r="H57" s="21"/>
      <c r="I57" s="34">
        <v>0</v>
      </c>
      <c r="J57" s="21"/>
    </row>
    <row r="58" spans="1:10" ht="16.5" x14ac:dyDescent="0.3">
      <c r="A58" s="15" t="s">
        <v>38</v>
      </c>
      <c r="B58" s="69"/>
      <c r="C58" s="34">
        <v>53106.707933094651</v>
      </c>
      <c r="D58" s="21"/>
      <c r="E58" s="34">
        <v>113542.39</v>
      </c>
      <c r="F58" s="21"/>
      <c r="G58" s="34">
        <v>127427.37</v>
      </c>
      <c r="H58" s="21"/>
      <c r="I58" s="34">
        <v>89645.1</v>
      </c>
      <c r="J58" s="21"/>
    </row>
    <row r="59" spans="1:10" ht="16.5" x14ac:dyDescent="0.3">
      <c r="A59" s="4"/>
      <c r="B59" s="71"/>
      <c r="C59" s="44"/>
      <c r="D59" s="26"/>
      <c r="E59" s="44"/>
      <c r="F59" s="26"/>
      <c r="G59" s="44"/>
      <c r="H59" s="26"/>
      <c r="I59" s="44" t="s">
        <v>63</v>
      </c>
      <c r="J59" s="27"/>
    </row>
    <row r="60" spans="1:10" ht="16.5" x14ac:dyDescent="0.3">
      <c r="A60" s="14" t="s">
        <v>39</v>
      </c>
      <c r="B60" s="69"/>
      <c r="C60" s="45">
        <v>1058998.4054791068</v>
      </c>
      <c r="D60" s="21"/>
      <c r="E60" s="45">
        <v>1061524.55</v>
      </c>
      <c r="F60" s="21"/>
      <c r="G60" s="45">
        <v>1070613.18</v>
      </c>
      <c r="H60" s="21"/>
      <c r="I60" s="45">
        <v>1026080.49</v>
      </c>
      <c r="J60" s="21"/>
    </row>
    <row r="61" spans="1:10" ht="16.5" x14ac:dyDescent="0.3">
      <c r="A61" s="16" t="s">
        <v>40</v>
      </c>
      <c r="B61" s="74"/>
      <c r="C61" s="45">
        <v>113795.68452089326</v>
      </c>
      <c r="D61" s="32"/>
      <c r="E61" s="45">
        <v>65163.05</v>
      </c>
      <c r="F61" s="21"/>
      <c r="G61" s="45">
        <v>-56296.88</v>
      </c>
      <c r="H61" s="21"/>
      <c r="I61" s="45">
        <v>159676.6</v>
      </c>
      <c r="J61" s="21"/>
    </row>
    <row r="62" spans="1:10" ht="30.75" x14ac:dyDescent="0.3">
      <c r="A62" s="17" t="s">
        <v>41</v>
      </c>
      <c r="B62" s="69"/>
      <c r="C62" s="45">
        <v>45000</v>
      </c>
      <c r="D62" s="21"/>
      <c r="E62" s="45">
        <v>55000</v>
      </c>
      <c r="F62" s="21"/>
      <c r="G62" s="45">
        <v>75330</v>
      </c>
      <c r="H62" s="21"/>
      <c r="I62" s="45">
        <v>0</v>
      </c>
      <c r="J62" s="21"/>
    </row>
    <row r="63" spans="1:10" ht="30.75" x14ac:dyDescent="0.3">
      <c r="A63" s="18" t="s">
        <v>42</v>
      </c>
      <c r="B63" s="74"/>
      <c r="C63" s="45">
        <v>158795.68452089326</v>
      </c>
      <c r="D63" s="21"/>
      <c r="E63" s="45">
        <v>120163.05</v>
      </c>
      <c r="F63" s="21"/>
      <c r="G63" s="45">
        <v>19033.12</v>
      </c>
      <c r="H63" s="21"/>
      <c r="I63" s="45">
        <v>159676.6</v>
      </c>
      <c r="J63" s="21"/>
    </row>
    <row r="64" spans="1:10" ht="16.5" x14ac:dyDescent="0.3">
      <c r="A64" s="16" t="s">
        <v>43</v>
      </c>
      <c r="B64" s="69"/>
      <c r="C64" s="45">
        <v>0</v>
      </c>
      <c r="D64" s="21"/>
      <c r="E64" s="45"/>
      <c r="F64" s="21"/>
      <c r="G64" s="45"/>
      <c r="H64" s="21"/>
      <c r="I64" s="45"/>
      <c r="J64" s="21"/>
    </row>
    <row r="65" spans="1:11" ht="17.25" thickBot="1" x14ac:dyDescent="0.35">
      <c r="A65" s="19" t="s">
        <v>44</v>
      </c>
      <c r="B65" s="75">
        <v>961832.1</v>
      </c>
      <c r="C65" s="45">
        <v>158795.68452089326</v>
      </c>
      <c r="D65" s="21"/>
      <c r="E65" s="45">
        <v>120163.05</v>
      </c>
      <c r="F65" s="21"/>
      <c r="G65" s="45">
        <v>19033.12</v>
      </c>
      <c r="H65" s="21"/>
      <c r="I65" s="45">
        <v>159676.6</v>
      </c>
      <c r="J65" s="21"/>
    </row>
    <row r="66" spans="1:11" ht="32.65" customHeight="1" x14ac:dyDescent="0.25">
      <c r="A66" s="6" t="s">
        <v>45</v>
      </c>
      <c r="B66" s="78" t="s">
        <v>53</v>
      </c>
      <c r="C66" s="79"/>
      <c r="D66" s="79"/>
      <c r="E66" s="79"/>
      <c r="F66" s="79"/>
      <c r="G66" s="79"/>
      <c r="H66" s="79"/>
      <c r="I66" s="79"/>
      <c r="J66" s="80"/>
      <c r="K66" s="56"/>
    </row>
    <row r="67" spans="1:11" x14ac:dyDescent="0.25">
      <c r="A67" s="7"/>
      <c r="B67" s="78" t="s">
        <v>46</v>
      </c>
      <c r="C67" s="79"/>
      <c r="D67" s="79"/>
      <c r="E67" s="79"/>
      <c r="F67" s="79"/>
      <c r="G67" s="79"/>
      <c r="H67" s="79"/>
      <c r="I67" s="79"/>
      <c r="J67" s="80"/>
    </row>
    <row r="68" spans="1:11" x14ac:dyDescent="0.25">
      <c r="A68" s="7"/>
      <c r="B68" s="78" t="s">
        <v>47</v>
      </c>
      <c r="C68" s="79"/>
      <c r="D68" s="79"/>
      <c r="E68" s="79"/>
      <c r="F68" s="79"/>
      <c r="G68" s="79"/>
      <c r="H68" s="79"/>
      <c r="I68" s="79"/>
      <c r="J68" s="80"/>
    </row>
    <row r="69" spans="1:11" x14ac:dyDescent="0.25">
      <c r="A69" s="7"/>
      <c r="B69" s="78"/>
      <c r="C69" s="79"/>
      <c r="D69" s="79"/>
      <c r="E69" s="79"/>
      <c r="F69" s="79"/>
      <c r="G69" s="79"/>
      <c r="H69" s="79"/>
      <c r="I69" s="79"/>
      <c r="J69" s="80"/>
    </row>
    <row r="70" spans="1:11" ht="16.5" thickBot="1" x14ac:dyDescent="0.3">
      <c r="A70" s="8"/>
      <c r="B70" s="81" t="s">
        <v>48</v>
      </c>
      <c r="C70" s="82"/>
      <c r="D70" s="82"/>
      <c r="E70" s="82"/>
      <c r="F70" s="82"/>
      <c r="G70" s="82"/>
      <c r="H70" s="82"/>
      <c r="I70" s="82"/>
      <c r="J70" s="83"/>
    </row>
    <row r="71" spans="1:11" x14ac:dyDescent="0.25">
      <c r="A71" s="8"/>
      <c r="B71" s="97" t="s">
        <v>51</v>
      </c>
      <c r="C71" s="97"/>
      <c r="D71" s="97"/>
      <c r="E71" s="97"/>
      <c r="F71" s="97"/>
      <c r="G71" s="97"/>
      <c r="H71" s="97"/>
      <c r="I71" s="97"/>
      <c r="J71" s="97"/>
    </row>
    <row r="72" spans="1:11" ht="16.5" thickBot="1" x14ac:dyDescent="0.3">
      <c r="A72" s="8"/>
      <c r="B72" s="98"/>
      <c r="C72" s="98"/>
      <c r="D72" s="98"/>
      <c r="E72" s="98"/>
      <c r="F72" s="98"/>
      <c r="G72" s="98"/>
      <c r="H72" s="98"/>
      <c r="I72" s="98"/>
      <c r="J72" s="98"/>
    </row>
    <row r="73" spans="1:11" ht="16.5" thickTop="1" x14ac:dyDescent="0.25">
      <c r="A73" s="8"/>
      <c r="B73" s="84"/>
      <c r="C73" s="85"/>
      <c r="D73" s="85"/>
      <c r="E73" s="85"/>
      <c r="F73" s="85"/>
      <c r="G73" s="85"/>
      <c r="H73" s="85"/>
      <c r="I73" s="85"/>
      <c r="J73" s="86"/>
    </row>
    <row r="74" spans="1:11" x14ac:dyDescent="0.25">
      <c r="A74" s="8"/>
      <c r="B74" s="87"/>
      <c r="C74" s="88"/>
      <c r="D74" s="88"/>
      <c r="E74" s="88"/>
      <c r="F74" s="88"/>
      <c r="G74" s="88"/>
      <c r="H74" s="88"/>
      <c r="I74" s="88"/>
      <c r="J74" s="89"/>
    </row>
    <row r="75" spans="1:11" x14ac:dyDescent="0.25">
      <c r="A75" s="8"/>
      <c r="B75" s="87"/>
      <c r="C75" s="88"/>
      <c r="D75" s="88"/>
      <c r="E75" s="88"/>
      <c r="F75" s="88"/>
      <c r="G75" s="88"/>
      <c r="H75" s="88"/>
      <c r="I75" s="88"/>
      <c r="J75" s="89"/>
    </row>
    <row r="76" spans="1:11" ht="16.5" thickBot="1" x14ac:dyDescent="0.3">
      <c r="A76" s="8"/>
      <c r="B76" s="90"/>
      <c r="C76" s="91"/>
      <c r="D76" s="91"/>
      <c r="E76" s="91"/>
      <c r="F76" s="91"/>
      <c r="G76" s="91"/>
      <c r="H76" s="91"/>
      <c r="I76" s="91"/>
      <c r="J76" s="92"/>
    </row>
    <row r="77" spans="1:11" ht="16.5" thickTop="1" x14ac:dyDescent="0.25"/>
  </sheetData>
  <sheetProtection algorithmName="SHA-512" hashValue="OfcgrKX3MaSYLWOGp7Oa+3eTuLj1L1MSzVrO5QrbP9CucjTrOfbN0u15yVWxDm3zlNOqutDSj1YJ/fqrl7BfPw==" saltValue="8UNES3z+M7xqI3MbaOwIQA==" spinCount="100000" sheet="1" objects="1" scenarios="1"/>
  <mergeCells count="11">
    <mergeCell ref="B73:J76"/>
    <mergeCell ref="D1:D6"/>
    <mergeCell ref="F1:F6"/>
    <mergeCell ref="H1:H6"/>
    <mergeCell ref="J1:J6"/>
    <mergeCell ref="B71:J72"/>
    <mergeCell ref="A1:A3"/>
    <mergeCell ref="B66:J66"/>
    <mergeCell ref="B67:J67"/>
    <mergeCell ref="B68:J69"/>
    <mergeCell ref="B70:J70"/>
  </mergeCells>
  <printOptions horizontalCentered="1" verticalCentered="1"/>
  <pageMargins left="0.45" right="0.45" top="0.75" bottom="0.5" header="0.3" footer="0.3"/>
  <pageSetup scale="85" fitToHeight="2" orientation="landscape" r:id="rId1"/>
  <headerFooter>
    <oddHeader>&amp;C&amp;"Arial Narrow,Bold"&amp;16FSMC Proposal Comparison Form&amp;R&amp;"Arial Narrow,Italic"&amp;12Form 24 FP
12/2019</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Holt, Karla</dc:creator>
  <cp:lastModifiedBy>Windows User</cp:lastModifiedBy>
  <cp:lastPrinted>2019-11-25T19:14:39Z</cp:lastPrinted>
  <dcterms:created xsi:type="dcterms:W3CDTF">2019-10-07T12:14:13Z</dcterms:created>
  <dcterms:modified xsi:type="dcterms:W3CDTF">2025-05-13T13:26:44Z</dcterms:modified>
</cp:coreProperties>
</file>